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centiussundjaja\Nextcloud\Share\CLIENTS\1-Active Customer\Pyx Global\Projects\Pyx RBA Project\20 - Technical Documentation\22 - Design\Scheme Operations Mapping\"/>
    </mc:Choice>
  </mc:AlternateContent>
  <xr:revisionPtr revIDLastSave="0" documentId="13_ncr:1_{06081E6B-3651-4749-8602-FE4FC3A1BB76}" xr6:coauthVersionLast="47" xr6:coauthVersionMax="47" xr10:uidLastSave="{00000000-0000-0000-0000-000000000000}"/>
  <bookViews>
    <workbookView xWindow="-120" yWindow="-16320" windowWidth="29040" windowHeight="15720" xr2:uid="{75F6E7C8-4F63-472E-9240-EE4A5018842F}"/>
  </bookViews>
  <sheets>
    <sheet name="How to Use" sheetId="12" r:id="rId1"/>
    <sheet name="SVC with Filter" sheetId="7" r:id="rId2"/>
    <sheet name="Template_Top Level Criteria" sheetId="6" r:id="rId3"/>
    <sheet name="Template_1st Level Sub Criteria" sheetId="13" r:id="rId4"/>
    <sheet name="Template_2nd Level Sub Criteria" sheetId="14" r:id="rId5"/>
    <sheet name="conformity topics" sheetId="8" r:id="rId6"/>
  </sheets>
  <definedNames>
    <definedName name="_xlnm._FilterDatabase" localSheetId="1" hidden="1">'SVC with Filter'!$A$12:$L$13</definedName>
    <definedName name="_xlnm._FilterDatabase" localSheetId="3" hidden="1">'Template_1st Level Sub Criteria'!$A$1:$K$13</definedName>
    <definedName name="_xlnm._FilterDatabase" localSheetId="4" hidden="1">'Template_2nd Level Sub Criteria'!$A$1:$K$29</definedName>
    <definedName name="_xlnm._FilterDatabase" localSheetId="2" hidden="1">'Template_Top Level Criteria'!$A$1:$K$5</definedName>
    <definedName name="_xlpm.t" hidden="1" xlm="1">#NAME?</definedName>
    <definedName name="_xlpm.visibleCriteria" hidden="1" xlm="1">#NAME?</definedName>
    <definedName name="_xlnm.Criteria" localSheetId="1">'SVC with Filter'!$F$1:$F$7</definedName>
    <definedName name="CriteriaTags" localSheetId="3">Table1[Tags]</definedName>
    <definedName name="CriteriaTags" localSheetId="4">Table1[Tags]</definedName>
    <definedName name="CriteriaTags">Table1[Tags]</definedName>
    <definedName name="_xlnm.Extract" localSheetId="1">'SVC with Filter'!#REF!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6" i="7" l="1" a="1"/>
  <c r="L36" i="7" s="1"/>
  <c r="L37" i="7" a="1"/>
  <c r="L37" i="7" s="1"/>
  <c r="L38" i="7" a="1"/>
  <c r="L38" i="7" s="1"/>
  <c r="L39" i="7" a="1"/>
  <c r="L39" i="7" s="1"/>
  <c r="L40" i="7" a="1"/>
  <c r="L40" i="7" s="1"/>
  <c r="L13" i="7" a="1"/>
  <c r="L13" i="7" s="1"/>
  <c r="L14" i="7" a="1"/>
  <c r="L14" i="7" s="1"/>
  <c r="L15" i="7" a="1"/>
  <c r="L15" i="7" s="1"/>
  <c r="L16" i="7" a="1"/>
  <c r="L16" i="7" s="1"/>
  <c r="L17" i="7" a="1"/>
  <c r="L17" i="7" s="1"/>
  <c r="L18" i="7" a="1"/>
  <c r="L18" i="7" s="1"/>
  <c r="L19" i="7" a="1"/>
  <c r="L19" i="7" s="1"/>
  <c r="L20" i="7" a="1"/>
  <c r="L20" i="7" s="1"/>
  <c r="L21" i="7" a="1"/>
  <c r="L21" i="7" s="1"/>
  <c r="L22" i="7" a="1"/>
  <c r="L22" i="7" s="1"/>
  <c r="L23" i="7" a="1"/>
  <c r="L23" i="7" s="1"/>
  <c r="L24" i="7" a="1"/>
  <c r="L24" i="7" s="1"/>
  <c r="L25" i="7" a="1"/>
  <c r="L25" i="7" s="1"/>
  <c r="L26" i="7" a="1"/>
  <c r="L26" i="7" s="1"/>
  <c r="L27" i="7" a="1"/>
  <c r="L27" i="7" s="1"/>
  <c r="L28" i="7" a="1"/>
  <c r="L28" i="7" s="1"/>
  <c r="L29" i="7" a="1"/>
  <c r="L29" i="7" s="1"/>
  <c r="L30" i="7" a="1"/>
  <c r="L30" i="7" s="1"/>
  <c r="L31" i="7" a="1"/>
  <c r="L31" i="7" s="1"/>
  <c r="L32" i="7" a="1"/>
  <c r="L32" i="7" s="1"/>
  <c r="L33" i="7" a="1"/>
  <c r="L33" i="7" s="1"/>
  <c r="L34" i="7" a="1"/>
  <c r="L34" i="7" s="1"/>
  <c r="L35" i="7" a="1"/>
  <c r="L35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<sst xmlns="http://schemas.openxmlformats.org/spreadsheetml/2006/main" count="576" uniqueCount="127">
  <si>
    <t>Tags</t>
  </si>
  <si>
    <t>all</t>
  </si>
  <si>
    <t>SVC Description</t>
  </si>
  <si>
    <t>Conformity Topic</t>
  </si>
  <si>
    <t>Status</t>
  </si>
  <si>
    <t>Threshold value</t>
  </si>
  <si>
    <t>Performance Level</t>
  </si>
  <si>
    <t>Category</t>
  </si>
  <si>
    <t>governance.transparency</t>
  </si>
  <si>
    <t>active</t>
  </si>
  <si>
    <t>Sub Criterion</t>
  </si>
  <si>
    <t>governance.compliance</t>
  </si>
  <si>
    <t>governance.ethics</t>
  </si>
  <si>
    <t>social.rights</t>
  </si>
  <si>
    <t>social.safety</t>
  </si>
  <si>
    <t>social.community</t>
  </si>
  <si>
    <t>ID</t>
  </si>
  <si>
    <t>Conformity Criterion</t>
  </si>
  <si>
    <t>Name</t>
  </si>
  <si>
    <t>Description</t>
  </si>
  <si>
    <t>environment.energy</t>
  </si>
  <si>
    <t>Clean energy</t>
  </si>
  <si>
    <t>claims supporting clean energy transition</t>
  </si>
  <si>
    <t>environment.emissions</t>
  </si>
  <si>
    <t>GHG emissions</t>
  </si>
  <si>
    <t>claims supporting GHG emissions reduction</t>
  </si>
  <si>
    <t>environment.water</t>
  </si>
  <si>
    <t>Water usage</t>
  </si>
  <si>
    <t>claims supporting minimising water usage impact</t>
  </si>
  <si>
    <t>environment.waste</t>
  </si>
  <si>
    <t>Waste reduction</t>
  </si>
  <si>
    <t>claims supporting waste processing and reduction</t>
  </si>
  <si>
    <t>environment.deforestation</t>
  </si>
  <si>
    <t>Deforestation</t>
  </si>
  <si>
    <t>claims supporting native forest restoration</t>
  </si>
  <si>
    <t>environment.biodiversity</t>
  </si>
  <si>
    <t>Biodiversity</t>
  </si>
  <si>
    <t>claims supporting improved biodiversity outcomes</t>
  </si>
  <si>
    <t>circularity.content</t>
  </si>
  <si>
    <t>Circular content</t>
  </si>
  <si>
    <t>claims supporting the use of recycled content in products</t>
  </si>
  <si>
    <t>circularity.design</t>
  </si>
  <si>
    <t>Circular design</t>
  </si>
  <si>
    <t>claims supporting product design for circularity outcomes</t>
  </si>
  <si>
    <t>social.labour</t>
  </si>
  <si>
    <t>Fair work</t>
  </si>
  <si>
    <t>claims supporting labour rights including fair wages</t>
  </si>
  <si>
    <t>Human rights</t>
  </si>
  <si>
    <t>claims supporting human rights and anti-discrimination</t>
  </si>
  <si>
    <t>Community development</t>
  </si>
  <si>
    <t>claims supporting local community development</t>
  </si>
  <si>
    <t>Safety</t>
  </si>
  <si>
    <t>claims supporting process and product safety</t>
  </si>
  <si>
    <t>Ethics</t>
  </si>
  <si>
    <t>claims supporting ethical conduct and corporate governance</t>
  </si>
  <si>
    <t>Regulatory compliance</t>
  </si>
  <si>
    <t>claims supporting regulatory compliance including taxation and community protection</t>
  </si>
  <si>
    <t>Transparency</t>
  </si>
  <si>
    <t>claims supporting transparency and traceability</t>
  </si>
  <si>
    <t>Example Top Level Criteria 1</t>
  </si>
  <si>
    <t>all,
test-tag-1</t>
  </si>
  <si>
    <t>test-tag-2</t>
  </si>
  <si>
    <t>test-tag-1,
test-tag-2</t>
  </si>
  <si>
    <t>all,
test-tag-1,
test-tag-2</t>
  </si>
  <si>
    <t>Example Top Level Criteria 2</t>
  </si>
  <si>
    <t>Example Top Level Criteria 3</t>
  </si>
  <si>
    <t>Example Top Level Criteria 4</t>
  </si>
  <si>
    <t>Example Top Level Criteria 5</t>
  </si>
  <si>
    <t>Description 1</t>
  </si>
  <si>
    <t>Description 2</t>
  </si>
  <si>
    <t>Description 3</t>
  </si>
  <si>
    <t>Description 4</t>
  </si>
  <si>
    <t>Description 5</t>
  </si>
  <si>
    <t>Example Sub Level Criteria 1-1</t>
  </si>
  <si>
    <t>Example Sub Level Criteria 1-2</t>
  </si>
  <si>
    <t>Description 1-1</t>
  </si>
  <si>
    <t>Description 1-2</t>
  </si>
  <si>
    <t>Example Sub Level Criteria 2-1</t>
  </si>
  <si>
    <t>Example Sub Level Criteria 3-1</t>
  </si>
  <si>
    <t>Example Sub Level Criteria 3-2</t>
  </si>
  <si>
    <t>Example Sub Level Criteria 3-3</t>
  </si>
  <si>
    <t>Description 2-1</t>
  </si>
  <si>
    <t>Description 3-1</t>
  </si>
  <si>
    <t>Description 3-2</t>
  </si>
  <si>
    <t>Description 3-3</t>
  </si>
  <si>
    <t>Example Sub Level Criteria 4-1</t>
  </si>
  <si>
    <t>Example Sub Level Criteria 4-2</t>
  </si>
  <si>
    <t>Example Sub Level Criteria 4-3</t>
  </si>
  <si>
    <t>Description 4-1</t>
  </si>
  <si>
    <t>Description 4-2</t>
  </si>
  <si>
    <t>Description 4-3</t>
  </si>
  <si>
    <t>test-tag-1</t>
  </si>
  <si>
    <t>Example Sub Level Criteria 2-2</t>
  </si>
  <si>
    <t>Example Sub Level Criteria 2-1-1</t>
  </si>
  <si>
    <t>Example Sub Level Criteria 2-2-1</t>
  </si>
  <si>
    <t>Description 2-1-1</t>
  </si>
  <si>
    <t>Description 2-2-1</t>
  </si>
  <si>
    <t>Example Sub Level Criteria 2-2-2</t>
  </si>
  <si>
    <t>Description 2-2-2</t>
  </si>
  <si>
    <t>Example Sub Level Criteria 3-1-1</t>
  </si>
  <si>
    <t>Example Sub Level Criteria 3-1-2</t>
  </si>
  <si>
    <t>Example Sub Level Criteria 3-1-3</t>
  </si>
  <si>
    <t>Example Sub Level Criteria 3-1-4</t>
  </si>
  <si>
    <t>Description 3-1-1</t>
  </si>
  <si>
    <t>Description 3-1-2</t>
  </si>
  <si>
    <t>Description 3-1-3</t>
  </si>
  <si>
    <t>Description 3-1-4</t>
  </si>
  <si>
    <t>Example Sub Level Criteria 4-1-1</t>
  </si>
  <si>
    <t>Example Sub Level Criteria 4-2-1</t>
  </si>
  <si>
    <t>Example Sub Level Criteria 4-3-1</t>
  </si>
  <si>
    <t>Description 4-1-1</t>
  </si>
  <si>
    <t>Description 4-2-1</t>
  </si>
  <si>
    <t>Description 4-3-1</t>
  </si>
  <si>
    <t>MatchesFilter</t>
  </si>
  <si>
    <t>The SVC with Filter has a tag filter that you can use to filter your criteria list based on tags</t>
  </si>
  <si>
    <t>SVC with Filter</t>
  </si>
  <si>
    <t>Template_Top Level Criteria</t>
  </si>
  <si>
    <t>Use this template if your standard only has 1 level of criteria (top level criteria)</t>
  </si>
  <si>
    <t>Template_1st Level Sub Criteria</t>
  </si>
  <si>
    <t>Use this template if your standard has 1 level of sub criteria</t>
  </si>
  <si>
    <t>Template_2nd Level Sub Criteria</t>
  </si>
  <si>
    <t>Use this template if your standard has 2 levels of sub criteria</t>
  </si>
  <si>
    <t>3rd level and more</t>
  </si>
  <si>
    <t>You can follow the pattern in the 2nd Level Sub Criteria to create the next level</t>
  </si>
  <si>
    <t>Workbook sheets</t>
  </si>
  <si>
    <t>This workbook is to ease the demonstration of how we turn a Standard/Criteria to an Sustainability Vocabulary Catalog (SVC)</t>
  </si>
  <si>
    <t xml:space="preserve">The columns used are only a small part of the attributes in https://jargon.sh/user/unece/SustainabilityVocabulary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</si>
</sst>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b/>
      <sz val="14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4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160">
    <xf numFmtId="0" fontId="0" fillId="0" borderId="0" xfId="0"/>
    <xf numFmtId="0" fontId="0" fillId="0" borderId="0" xfId="0" applyAlignment="1">
      <alignment horizontal="center"/>
    </xf>
    <xf numFmtId="0" fontId="2" fillId="3" borderId="2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/>
    </xf>
    <xf numFmtId="0" fontId="11" fillId="12" borderId="2" xfId="0" applyFont="1" applyFill="1" applyBorder="1" applyAlignment="1">
      <alignment vertical="center" wrapText="1"/>
    </xf>
    <xf numFmtId="0" fontId="11" fillId="12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horizontal="center" vertical="center"/>
    </xf>
    <xf numFmtId="0" fontId="11" fillId="12" borderId="2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2" xfId="0" applyFill="1" applyBorder="1" applyAlignment="1">
      <alignment vertical="center"/>
    </xf>
    <xf numFmtId="0" fontId="0" fillId="5" borderId="2" xfId="0" applyFill="1" applyBorder="1" applyAlignment="1">
      <alignment horizontal="center" vertical="center" wrapText="1"/>
    </xf>
    <xf numFmtId="0" fontId="0" fillId="5" borderId="2" xfId="0" applyFill="1" applyBorder="1" applyAlignment="1">
      <alignment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center" vertical="center" wrapText="1"/>
    </xf>
    <xf numFmtId="0" fontId="11" fillId="10" borderId="2" xfId="0" applyFont="1" applyFill="1" applyBorder="1" applyAlignment="1">
      <alignment vertical="center" wrapText="1"/>
    </xf>
    <xf numFmtId="0" fontId="11" fillId="10" borderId="2" xfId="0" applyFont="1" applyFill="1" applyBorder="1" applyAlignment="1">
      <alignment horizontal="center" vertical="center" wrapText="1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1" fillId="12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/>
    </xf>
    <xf numFmtId="0" fontId="11" fillId="10" borderId="3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vertical="center" wrapText="1"/>
    </xf>
    <xf numFmtId="0" fontId="8" fillId="2" borderId="2" xfId="0" applyFont="1" applyFill="1" applyBorder="1" applyAlignment="1">
      <alignment vertical="center" wrapText="1"/>
    </xf>
    <xf numFmtId="0" fontId="14" fillId="12" borderId="3" xfId="0" applyFont="1" applyFill="1" applyBorder="1" applyAlignment="1">
      <alignment horizontal="center" vertical="center" wrapText="1"/>
    </xf>
    <xf numFmtId="0" fontId="13" fillId="9" borderId="3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17" fillId="12" borderId="2" xfId="0" applyFont="1" applyFill="1" applyBorder="1" applyAlignment="1">
      <alignment vertical="center" wrapText="1"/>
    </xf>
    <xf numFmtId="0" fontId="11" fillId="12" borderId="5" xfId="0" applyFont="1" applyFill="1" applyBorder="1" applyAlignment="1">
      <alignment horizontal="center" vertical="center" wrapText="1"/>
    </xf>
    <xf numFmtId="0" fontId="17" fillId="9" borderId="2" xfId="0" applyFont="1" applyFill="1" applyBorder="1" applyAlignment="1">
      <alignment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vertical="center" wrapText="1"/>
    </xf>
    <xf numFmtId="0" fontId="11" fillId="9" borderId="2" xfId="0" applyFont="1" applyFill="1" applyBorder="1" applyAlignment="1">
      <alignment horizontal="center" vertical="center" wrapText="1"/>
    </xf>
    <xf numFmtId="0" fontId="3" fillId="10" borderId="5" xfId="0" applyFont="1" applyFill="1" applyBorder="1" applyAlignment="1">
      <alignment vertical="center" wrapText="1"/>
    </xf>
    <xf numFmtId="0" fontId="11" fillId="11" borderId="4" xfId="0" applyFont="1" applyFill="1" applyBorder="1" applyAlignment="1">
      <alignment vertical="center"/>
    </xf>
    <xf numFmtId="0" fontId="3" fillId="9" borderId="3" xfId="0" applyFont="1" applyFill="1" applyBorder="1" applyAlignment="1">
      <alignment vertical="center" wrapText="1"/>
    </xf>
    <xf numFmtId="0" fontId="3" fillId="10" borderId="1" xfId="0" applyFont="1" applyFill="1" applyBorder="1" applyAlignment="1">
      <alignment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11" fillId="1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12" fillId="13" borderId="1" xfId="0" applyFont="1" applyFill="1" applyBorder="1" applyAlignment="1">
      <alignment horizontal="left" vertical="center" wrapText="1"/>
    </xf>
    <xf numFmtId="0" fontId="12" fillId="6" borderId="1" xfId="0" applyFont="1" applyFill="1" applyBorder="1" applyAlignment="1">
      <alignment horizontal="left" vertical="center" wrapText="1"/>
    </xf>
    <xf numFmtId="0" fontId="4" fillId="7" borderId="1" xfId="0" applyFont="1" applyFill="1" applyBorder="1" applyAlignment="1">
      <alignment horizontal="left" vertical="center"/>
    </xf>
    <xf numFmtId="0" fontId="17" fillId="12" borderId="1" xfId="0" applyFont="1" applyFill="1" applyBorder="1" applyAlignment="1">
      <alignment horizontal="left" vertical="center" wrapText="1"/>
    </xf>
    <xf numFmtId="0" fontId="17" fillId="9" borderId="1" xfId="0" applyFont="1" applyFill="1" applyBorder="1" applyAlignment="1">
      <alignment horizontal="left" vertical="center" wrapText="1"/>
    </xf>
    <xf numFmtId="0" fontId="11" fillId="10" borderId="1" xfId="0" applyFont="1" applyFill="1" applyBorder="1" applyAlignment="1">
      <alignment horizontal="left" vertical="center" wrapText="1"/>
    </xf>
    <xf numFmtId="0" fontId="11" fillId="11" borderId="1" xfId="0" applyFont="1" applyFill="1" applyBorder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2" fillId="5" borderId="2" xfId="0" applyFont="1" applyFill="1" applyBorder="1" applyAlignment="1">
      <alignment horizontal="left" vertical="center" wrapText="1"/>
    </xf>
    <xf numFmtId="0" fontId="4" fillId="5" borderId="2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3" fillId="11" borderId="3" xfId="0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13" fillId="9" borderId="3" xfId="0" applyFont="1" applyFill="1" applyBorder="1" applyAlignment="1">
      <alignment horizontal="center" vertical="center"/>
    </xf>
    <xf numFmtId="0" fontId="13" fillId="9" borderId="8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/>
    </xf>
    <xf numFmtId="0" fontId="3" fillId="10" borderId="8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3" fillId="12" borderId="5" xfId="0" applyFont="1" applyFill="1" applyBorder="1" applyAlignment="1">
      <alignment horizontal="center" vertical="center" wrapText="1"/>
    </xf>
    <xf numFmtId="0" fontId="3" fillId="12" borderId="7" xfId="0" applyFont="1" applyFill="1" applyBorder="1" applyAlignment="1">
      <alignment horizontal="center" vertical="center" wrapText="1"/>
    </xf>
    <xf numFmtId="0" fontId="3" fillId="12" borderId="6" xfId="0" applyFont="1" applyFill="1" applyBorder="1" applyAlignment="1">
      <alignment horizontal="center" vertical="center" wrapText="1"/>
    </xf>
    <xf numFmtId="0" fontId="3" fillId="9" borderId="5" xfId="0" applyFont="1" applyFill="1" applyBorder="1" applyAlignment="1">
      <alignment horizontal="center" vertical="center" wrapText="1"/>
    </xf>
    <xf numFmtId="0" fontId="3" fillId="9" borderId="7" xfId="0" applyFont="1" applyFill="1" applyBorder="1" applyAlignment="1">
      <alignment horizontal="center" vertical="center" wrapText="1"/>
    </xf>
    <xf numFmtId="0" fontId="3" fillId="9" borderId="6" xfId="0" applyFont="1" applyFill="1" applyBorder="1" applyAlignment="1">
      <alignment horizontal="center" vertical="center" wrapText="1"/>
    </xf>
    <xf numFmtId="0" fontId="3" fillId="10" borderId="5" xfId="0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 vertical="center" wrapText="1"/>
    </xf>
    <xf numFmtId="0" fontId="3" fillId="10" borderId="6" xfId="0" applyFont="1" applyFill="1" applyBorder="1" applyAlignment="1">
      <alignment horizontal="center" vertical="center" wrapText="1"/>
    </xf>
    <xf numFmtId="0" fontId="3" fillId="11" borderId="5" xfId="0" applyFont="1" applyFill="1" applyBorder="1" applyAlignment="1">
      <alignment horizontal="center" vertical="center" wrapText="1"/>
    </xf>
    <xf numFmtId="0" fontId="3" fillId="11" borderId="7" xfId="0" applyFont="1" applyFill="1" applyBorder="1" applyAlignment="1">
      <alignment horizontal="center" vertical="center" wrapText="1"/>
    </xf>
    <xf numFmtId="0" fontId="3" fillId="11" borderId="6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14" fillId="12" borderId="1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vertical="center" wrapText="1"/>
    </xf>
    <xf numFmtId="0" fontId="0" fillId="0" borderId="1" xfId="0" applyBorder="1"/>
    <xf numFmtId="0" fontId="2" fillId="6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8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38100</xdr:rowOff>
        </xdr:from>
        <xdr:to>
          <xdr:col>4</xdr:col>
          <xdr:colOff>1428750</xdr:colOff>
          <xdr:row>0</xdr:row>
          <xdr:rowOff>368300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Apply Filter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2B5BBB-82A9-4CFA-BEC8-1E535F0D93B4}" name="Table1" displayName="Table1" ref="C1:C9" totalsRowShown="0">
  <autoFilter ref="C1:C9" xr:uid="{DA2B5BBB-82A9-4CFA-BEC8-1E535F0D93B4}"/>
  <tableColumns count="1">
    <tableColumn id="1" xr3:uid="{483DCD89-2B78-4E6C-B4E1-6D4D55659156}" name="Tag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386D35-9DE3-4C84-B3B5-B4F7AA54892B}" name="Table2" displayName="Table2" ref="A1:C16" totalsRowShown="0">
  <autoFilter ref="A1:C16" xr:uid="{DE028442-E961-4B32-81EA-DEB2E3011F4C}"/>
  <tableColumns count="3">
    <tableColumn id="1" xr3:uid="{A16F6645-1296-4306-9A9A-751C0BBF25B9}" name="Conformity Topic"/>
    <tableColumn id="2" xr3:uid="{8BF3C292-AAE0-4650-A15B-563D0A768D8B}" name="Name"/>
    <tableColumn id="3" xr3:uid="{6FBC6430-7E5A-4693-87AF-134B2AF54AD8}" name="Descrip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DE0A-1E64-42B6-A060-C2484D486D6D}">
  <sheetPr codeName="Sheet1"/>
  <dimension ref="A1:B9"/>
  <sheetViews>
    <sheetView tabSelected="1" workbookViewId="0">
      <selection activeCell="B27" sqref="B27"/>
    </sheetView>
  </sheetViews>
  <sheetFormatPr defaultRowHeight="14.5" x14ac:dyDescent="0.35"/>
  <cols>
    <col min="1" max="1" width="27.08984375" bestFit="1" customWidth="1"/>
    <col min="2" max="2" width="76.6328125" bestFit="1" customWidth="1"/>
  </cols>
  <sheetData>
    <row r="1" spans="1:2" x14ac:dyDescent="0.35">
      <c r="A1" t="s">
        <v>125</v>
      </c>
    </row>
    <row r="2" spans="1:2" x14ac:dyDescent="0.35">
      <c r="A2" t="s">
        <v>126</v>
      </c>
    </row>
    <row r="4" spans="1:2" x14ac:dyDescent="0.35">
      <c r="A4" s="159" t="s">
        <v>124</v>
      </c>
      <c r="B4" s="159"/>
    </row>
    <row r="5" spans="1:2" x14ac:dyDescent="0.35">
      <c r="A5" t="s">
        <v>115</v>
      </c>
      <c r="B5" t="s">
        <v>114</v>
      </c>
    </row>
    <row r="6" spans="1:2" x14ac:dyDescent="0.35">
      <c r="A6" t="s">
        <v>116</v>
      </c>
      <c r="B6" t="s">
        <v>117</v>
      </c>
    </row>
    <row r="7" spans="1:2" x14ac:dyDescent="0.35">
      <c r="A7" t="s">
        <v>118</v>
      </c>
      <c r="B7" t="s">
        <v>119</v>
      </c>
    </row>
    <row r="8" spans="1:2" x14ac:dyDescent="0.35">
      <c r="A8" t="s">
        <v>120</v>
      </c>
      <c r="B8" t="s">
        <v>121</v>
      </c>
    </row>
    <row r="9" spans="1:2" x14ac:dyDescent="0.35">
      <c r="A9" t="s">
        <v>122</v>
      </c>
      <c r="B9" t="s">
        <v>123</v>
      </c>
    </row>
  </sheetData>
  <mergeCells count="1">
    <mergeCell ref="A4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FC5C2-A9BA-447A-8C96-12BDDB9014CF}">
  <sheetPr codeName="Sheet3" filterMode="1"/>
  <dimension ref="A1:L40"/>
  <sheetViews>
    <sheetView zoomScale="70" zoomScaleNormal="70" workbookViewId="0">
      <pane xSplit="1" ySplit="11" topLeftCell="B12" activePane="bottomRight" state="frozen"/>
      <selection pane="topRight" activeCell="B1" sqref="B1"/>
      <selection pane="bottomLeft" activeCell="A13" sqref="A13"/>
      <selection pane="bottomRight" activeCell="E3" sqref="E3"/>
    </sheetView>
  </sheetViews>
  <sheetFormatPr defaultRowHeight="15" customHeight="1" x14ac:dyDescent="0.35"/>
  <cols>
    <col min="1" max="1" width="5.81640625" customWidth="1"/>
    <col min="2" max="2" width="8.1796875" customWidth="1"/>
    <col min="3" max="3" width="10.6328125" bestFit="1" customWidth="1"/>
    <col min="4" max="4" width="31.453125" bestFit="1" customWidth="1"/>
    <col min="5" max="5" width="128.453125" customWidth="1"/>
    <col min="6" max="6" width="28.26953125" style="1" customWidth="1"/>
    <col min="7" max="7" width="26" customWidth="1"/>
    <col min="8" max="8" width="24.7265625" customWidth="1"/>
    <col min="9" max="9" width="20.453125" customWidth="1"/>
    <col min="10" max="10" width="23.81640625" customWidth="1"/>
    <col min="11" max="11" width="12.1796875" bestFit="1" customWidth="1"/>
    <col min="12" max="12" width="16.81640625" bestFit="1" customWidth="1"/>
  </cols>
  <sheetData>
    <row r="1" spans="1:12" ht="34" customHeight="1" x14ac:dyDescent="0.35">
      <c r="C1" t="s">
        <v>0</v>
      </c>
      <c r="E1" s="25"/>
    </row>
    <row r="2" spans="1:12" ht="14.5" x14ac:dyDescent="0.35">
      <c r="C2" t="s">
        <v>1</v>
      </c>
      <c r="F2" s="26"/>
    </row>
    <row r="3" spans="1:12" ht="14.5" x14ac:dyDescent="0.35">
      <c r="C3" t="s">
        <v>91</v>
      </c>
      <c r="F3" s="26"/>
    </row>
    <row r="4" spans="1:12" ht="14.5" x14ac:dyDescent="0.35">
      <c r="C4" t="s">
        <v>61</v>
      </c>
      <c r="F4" s="26"/>
    </row>
    <row r="5" spans="1:12" ht="14.5" x14ac:dyDescent="0.35">
      <c r="F5" s="26"/>
    </row>
    <row r="6" spans="1:12" ht="14.5" x14ac:dyDescent="0.35">
      <c r="F6" s="26"/>
    </row>
    <row r="7" spans="1:12" ht="14.5" x14ac:dyDescent="0.35">
      <c r="F7" s="26"/>
    </row>
    <row r="8" spans="1:12" ht="14.5" x14ac:dyDescent="0.35">
      <c r="F8" s="26"/>
    </row>
    <row r="9" spans="1:12" ht="14.5" x14ac:dyDescent="0.35">
      <c r="F9" s="26"/>
    </row>
    <row r="12" spans="1:12" ht="18.5" customHeight="1" x14ac:dyDescent="0.35">
      <c r="A12" s="138" t="s">
        <v>16</v>
      </c>
      <c r="B12" s="134" t="s">
        <v>17</v>
      </c>
      <c r="C12" s="134"/>
      <c r="D12" s="134"/>
      <c r="E12" s="59" t="s">
        <v>2</v>
      </c>
      <c r="F12" s="59" t="s">
        <v>0</v>
      </c>
      <c r="G12" s="59" t="s">
        <v>3</v>
      </c>
      <c r="H12" s="59" t="s">
        <v>4</v>
      </c>
      <c r="I12" s="60" t="s">
        <v>5</v>
      </c>
      <c r="J12" s="60" t="s">
        <v>6</v>
      </c>
      <c r="K12" s="60" t="s">
        <v>7</v>
      </c>
      <c r="L12" s="60" t="s">
        <v>113</v>
      </c>
    </row>
    <row r="13" spans="1:12" ht="18.5" customHeight="1" x14ac:dyDescent="0.35">
      <c r="A13" s="133">
        <v>2</v>
      </c>
      <c r="B13" s="107" t="s">
        <v>64</v>
      </c>
      <c r="C13" s="107"/>
      <c r="D13" s="107"/>
      <c r="E13" s="86" t="s">
        <v>69</v>
      </c>
      <c r="F13" s="68" t="s">
        <v>60</v>
      </c>
      <c r="G13" s="68" t="s">
        <v>11</v>
      </c>
      <c r="H13" s="68" t="s">
        <v>9</v>
      </c>
      <c r="I13" s="67"/>
      <c r="J13" s="67"/>
      <c r="K13" s="67"/>
      <c r="L13" s="139" t="b" cm="1">
        <f t="array" aca="1" ref="L13" ca="1">_xlfn.LET(
_xlpm.t, RAND(),
_xlpm.visibleCriteria, _xlfn._xlws.FILTER(CriteriaTags, SUBTOTAL(103, OFFSET(CriteriaTags, ROW(CriteriaTags)-MIN(ROW(CriteriaTags)), 0, 1))),
SUMPRODUCT(--ISNUMBER(SEARCH(TRANSPOSE(_xlpm.visibleCriteria), F13)))&gt;0
)</f>
        <v>1</v>
      </c>
    </row>
    <row r="14" spans="1:12" ht="16" hidden="1" customHeight="1" x14ac:dyDescent="0.35">
      <c r="A14" s="133"/>
      <c r="B14" s="63" t="s">
        <v>16</v>
      </c>
      <c r="C14" s="132" t="s">
        <v>10</v>
      </c>
      <c r="D14" s="132"/>
      <c r="E14" s="39" t="s">
        <v>2</v>
      </c>
      <c r="F14" s="39" t="s">
        <v>0</v>
      </c>
      <c r="G14" s="39" t="s">
        <v>3</v>
      </c>
      <c r="H14" s="39" t="s">
        <v>4</v>
      </c>
      <c r="I14" s="64" t="s">
        <v>5</v>
      </c>
      <c r="J14" s="64" t="s">
        <v>6</v>
      </c>
      <c r="K14" s="64" t="s">
        <v>7</v>
      </c>
      <c r="L14" s="139" t="b" cm="1">
        <f t="array" aca="1" ref="L14" ca="1">_xlfn.LET(
_xlpm.t, RAND(),
_xlpm.visibleCriteria, _xlfn._xlws.FILTER(CriteriaTags, SUBTOTAL(103, OFFSET(CriteriaTags, ROW(CriteriaTags)-MIN(ROW(CriteriaTags)), 0, 1))),
SUMPRODUCT(--ISNUMBER(SEARCH(TRANSPOSE(_xlpm.visibleCriteria), F14)))&gt;0
)</f>
        <v>0</v>
      </c>
    </row>
    <row r="15" spans="1:12" ht="16" customHeight="1" x14ac:dyDescent="0.35">
      <c r="A15" s="133"/>
      <c r="B15" s="140">
        <v>1</v>
      </c>
      <c r="C15" s="110" t="s">
        <v>77</v>
      </c>
      <c r="D15" s="110"/>
      <c r="E15" s="83" t="s">
        <v>81</v>
      </c>
      <c r="F15" s="70" t="s">
        <v>1</v>
      </c>
      <c r="G15" s="71" t="s">
        <v>11</v>
      </c>
      <c r="H15" s="71" t="s">
        <v>9</v>
      </c>
      <c r="I15" s="71"/>
      <c r="J15" s="71"/>
      <c r="K15" s="71"/>
      <c r="L15" s="139" t="b" cm="1">
        <f t="array" aca="1" ref="L15" ca="1">_xlfn.LET(
_xlpm.t, RAND(),
_xlpm.visibleCriteria, _xlfn._xlws.FILTER(CriteriaTags, SUBTOTAL(103, OFFSET(CriteriaTags, ROW(CriteriaTags)-MIN(ROW(CriteriaTags)), 0, 1))),
SUMPRODUCT(--ISNUMBER(SEARCH(TRANSPOSE(_xlpm.visibleCriteria), F15)))&gt;0
)</f>
        <v>1</v>
      </c>
    </row>
    <row r="16" spans="1:12" ht="16" hidden="1" customHeight="1" x14ac:dyDescent="0.35">
      <c r="A16" s="133"/>
      <c r="B16" s="140"/>
      <c r="C16" s="38" t="s">
        <v>16</v>
      </c>
      <c r="D16" s="38" t="s">
        <v>10</v>
      </c>
      <c r="E16" s="38" t="s">
        <v>2</v>
      </c>
      <c r="F16" s="38" t="s">
        <v>0</v>
      </c>
      <c r="G16" s="38" t="s">
        <v>3</v>
      </c>
      <c r="H16" s="38" t="s">
        <v>4</v>
      </c>
      <c r="I16" s="141" t="s">
        <v>5</v>
      </c>
      <c r="J16" s="141" t="s">
        <v>6</v>
      </c>
      <c r="K16" s="141" t="s">
        <v>7</v>
      </c>
      <c r="L16" s="139" t="b" cm="1">
        <f t="array" aca="1" ref="L16" ca="1">_xlfn.LET(
_xlpm.t, RAND(),
_xlpm.visibleCriteria, _xlfn._xlws.FILTER(CriteriaTags, SUBTOTAL(103, OFFSET(CriteriaTags, ROW(CriteriaTags)-MIN(ROW(CriteriaTags)), 0, 1))),
SUMPRODUCT(--ISNUMBER(SEARCH(TRANSPOSE(_xlpm.visibleCriteria), F16)))&gt;0
)</f>
        <v>0</v>
      </c>
    </row>
    <row r="17" spans="1:12" ht="16" customHeight="1" x14ac:dyDescent="0.35">
      <c r="A17" s="133"/>
      <c r="B17" s="140"/>
      <c r="C17" s="142">
        <v>1</v>
      </c>
      <c r="D17" s="142" t="s">
        <v>93</v>
      </c>
      <c r="E17" s="143" t="s">
        <v>95</v>
      </c>
      <c r="F17" s="144" t="s">
        <v>1</v>
      </c>
      <c r="G17" s="145" t="s">
        <v>11</v>
      </c>
      <c r="H17" s="145" t="s">
        <v>9</v>
      </c>
      <c r="I17" s="146"/>
      <c r="J17" s="146"/>
      <c r="K17" s="146"/>
      <c r="L17" s="139" t="b" cm="1">
        <f t="array" aca="1" ref="L17" ca="1">_xlfn.LET(
_xlpm.t, RAND(),
_xlpm.visibleCriteria, _xlfn._xlws.FILTER(CriteriaTags, SUBTOTAL(103, OFFSET(CriteriaTags, ROW(CriteriaTags)-MIN(ROW(CriteriaTags)), 0, 1))),
SUMPRODUCT(--ISNUMBER(SEARCH(TRANSPOSE(_xlpm.visibleCriteria), F17)))&gt;0
)</f>
        <v>1</v>
      </c>
    </row>
    <row r="18" spans="1:12" ht="16" customHeight="1" x14ac:dyDescent="0.35">
      <c r="A18" s="133"/>
      <c r="B18" s="140">
        <v>2</v>
      </c>
      <c r="C18" s="110" t="s">
        <v>92</v>
      </c>
      <c r="D18" s="110"/>
      <c r="E18" s="83" t="s">
        <v>81</v>
      </c>
      <c r="F18" s="70" t="s">
        <v>60</v>
      </c>
      <c r="G18" s="71" t="s">
        <v>11</v>
      </c>
      <c r="H18" s="71" t="s">
        <v>9</v>
      </c>
      <c r="I18" s="71"/>
      <c r="J18" s="71"/>
      <c r="K18" s="71"/>
      <c r="L18" s="139" t="b" cm="1">
        <f t="array" aca="1" ref="L18" ca="1">_xlfn.LET(
_xlpm.t, RAND(),
_xlpm.visibleCriteria, _xlfn._xlws.FILTER(CriteriaTags, SUBTOTAL(103, OFFSET(CriteriaTags, ROW(CriteriaTags)-MIN(ROW(CriteriaTags)), 0, 1))),
SUMPRODUCT(--ISNUMBER(SEARCH(TRANSPOSE(_xlpm.visibleCriteria), F18)))&gt;0
)</f>
        <v>1</v>
      </c>
    </row>
    <row r="19" spans="1:12" ht="18.5" hidden="1" customHeight="1" x14ac:dyDescent="0.35">
      <c r="A19" s="133"/>
      <c r="B19" s="140"/>
      <c r="C19" s="38" t="s">
        <v>16</v>
      </c>
      <c r="D19" s="38" t="s">
        <v>10</v>
      </c>
      <c r="E19" s="38" t="s">
        <v>2</v>
      </c>
      <c r="F19" s="38" t="s">
        <v>0</v>
      </c>
      <c r="G19" s="38" t="s">
        <v>3</v>
      </c>
      <c r="H19" s="38" t="s">
        <v>4</v>
      </c>
      <c r="I19" s="141" t="s">
        <v>5</v>
      </c>
      <c r="J19" s="141" t="s">
        <v>6</v>
      </c>
      <c r="K19" s="141" t="s">
        <v>7</v>
      </c>
      <c r="L19" s="139" t="b" cm="1">
        <f t="array" aca="1" ref="L19" ca="1">_xlfn.LET(
_xlpm.t, RAND(),
_xlpm.visibleCriteria, _xlfn._xlws.FILTER(CriteriaTags, SUBTOTAL(103, OFFSET(CriteriaTags, ROW(CriteriaTags)-MIN(ROW(CriteriaTags)), 0, 1))),
SUMPRODUCT(--ISNUMBER(SEARCH(TRANSPOSE(_xlpm.visibleCriteria), F19)))&gt;0
)</f>
        <v>0</v>
      </c>
    </row>
    <row r="20" spans="1:12" ht="16" customHeight="1" x14ac:dyDescent="0.35">
      <c r="A20" s="133"/>
      <c r="B20" s="140"/>
      <c r="C20" s="142">
        <v>1</v>
      </c>
      <c r="D20" s="142" t="s">
        <v>94</v>
      </c>
      <c r="E20" s="143" t="s">
        <v>96</v>
      </c>
      <c r="F20" s="147" t="s">
        <v>1</v>
      </c>
      <c r="G20" s="148" t="s">
        <v>11</v>
      </c>
      <c r="H20" s="145" t="s">
        <v>9</v>
      </c>
      <c r="I20" s="149"/>
      <c r="J20" s="149"/>
      <c r="K20" s="149"/>
      <c r="L20" s="139" t="b" cm="1">
        <f t="array" aca="1" ref="L20" ca="1">_xlfn.LET(
_xlpm.t, RAND(),
_xlpm.visibleCriteria, _xlfn._xlws.FILTER(CriteriaTags, SUBTOTAL(103, OFFSET(CriteriaTags, ROW(CriteriaTags)-MIN(ROW(CriteriaTags)), 0, 1))),
SUMPRODUCT(--ISNUMBER(SEARCH(TRANSPOSE(_xlpm.visibleCriteria), F20)))&gt;0
)</f>
        <v>1</v>
      </c>
    </row>
    <row r="21" spans="1:12" ht="16" customHeight="1" x14ac:dyDescent="0.35">
      <c r="A21" s="133"/>
      <c r="B21" s="140"/>
      <c r="C21" s="142">
        <v>2</v>
      </c>
      <c r="D21" s="142" t="s">
        <v>97</v>
      </c>
      <c r="E21" s="143" t="s">
        <v>98</v>
      </c>
      <c r="F21" s="147" t="s">
        <v>91</v>
      </c>
      <c r="G21" s="148" t="s">
        <v>11</v>
      </c>
      <c r="H21" s="145" t="s">
        <v>9</v>
      </c>
      <c r="I21" s="149"/>
      <c r="J21" s="149"/>
      <c r="K21" s="149"/>
      <c r="L21" s="139" t="b" cm="1">
        <f t="array" aca="1" ref="L21" ca="1">_xlfn.LET(
_xlpm.t, RAND(),
_xlpm.visibleCriteria, _xlfn._xlws.FILTER(CriteriaTags, SUBTOTAL(103, OFFSET(CriteriaTags, ROW(CriteriaTags)-MIN(ROW(CriteriaTags)), 0, 1))),
SUMPRODUCT(--ISNUMBER(SEARCH(TRANSPOSE(_xlpm.visibleCriteria), F21)))&gt;0
)</f>
        <v>1</v>
      </c>
    </row>
    <row r="22" spans="1:12" ht="16" customHeight="1" x14ac:dyDescent="0.35">
      <c r="A22" s="131">
        <v>3</v>
      </c>
      <c r="B22" s="113" t="s">
        <v>65</v>
      </c>
      <c r="C22" s="113"/>
      <c r="D22" s="113"/>
      <c r="E22" s="87" t="s">
        <v>70</v>
      </c>
      <c r="F22" s="72" t="s">
        <v>61</v>
      </c>
      <c r="G22" s="72" t="s">
        <v>11</v>
      </c>
      <c r="H22" s="72" t="s">
        <v>9</v>
      </c>
      <c r="I22" s="57"/>
      <c r="J22" s="57"/>
      <c r="K22" s="57"/>
      <c r="L22" s="139" t="b" cm="1">
        <f t="array" aca="1" ref="L22" ca="1">_xlfn.LET(
_xlpm.t, RAND(),
_xlpm.visibleCriteria, _xlfn._xlws.FILTER(CriteriaTags, SUBTOTAL(103, OFFSET(CriteriaTags, ROW(CriteriaTags)-MIN(ROW(CriteriaTags)), 0, 1))),
SUMPRODUCT(--ISNUMBER(SEARCH(TRANSPOSE(_xlpm.visibleCriteria), F22)))&gt;0
)</f>
        <v>1</v>
      </c>
    </row>
    <row r="23" spans="1:12" ht="16" hidden="1" customHeight="1" x14ac:dyDescent="0.35">
      <c r="A23" s="131"/>
      <c r="B23" s="63" t="s">
        <v>16</v>
      </c>
      <c r="C23" s="132" t="s">
        <v>10</v>
      </c>
      <c r="D23" s="132"/>
      <c r="E23" s="39" t="s">
        <v>2</v>
      </c>
      <c r="F23" s="39" t="s">
        <v>0</v>
      </c>
      <c r="G23" s="39" t="s">
        <v>3</v>
      </c>
      <c r="H23" s="39" t="s">
        <v>4</v>
      </c>
      <c r="I23" s="64" t="s">
        <v>5</v>
      </c>
      <c r="J23" s="64" t="s">
        <v>6</v>
      </c>
      <c r="K23" s="64" t="s">
        <v>7</v>
      </c>
      <c r="L23" s="139" t="b" cm="1">
        <f t="array" aca="1" ref="L23" ca="1">_xlfn.LET(
_xlpm.t, RAND(),
_xlpm.visibleCriteria, _xlfn._xlws.FILTER(CriteriaTags, SUBTOTAL(103, OFFSET(CriteriaTags, ROW(CriteriaTags)-MIN(ROW(CriteriaTags)), 0, 1))),
SUMPRODUCT(--ISNUMBER(SEARCH(TRANSPOSE(_xlpm.visibleCriteria), F23)))&gt;0
)</f>
        <v>0</v>
      </c>
    </row>
    <row r="24" spans="1:12" ht="16" customHeight="1" x14ac:dyDescent="0.35">
      <c r="A24" s="131"/>
      <c r="B24" s="150">
        <v>1</v>
      </c>
      <c r="C24" s="117" t="s">
        <v>78</v>
      </c>
      <c r="D24" s="117"/>
      <c r="E24" s="81" t="s">
        <v>82</v>
      </c>
      <c r="F24" s="74" t="s">
        <v>61</v>
      </c>
      <c r="G24" s="75" t="s">
        <v>11</v>
      </c>
      <c r="H24" s="75" t="s">
        <v>9</v>
      </c>
      <c r="I24" s="75"/>
      <c r="J24" s="75"/>
      <c r="K24" s="75"/>
      <c r="L24" s="139" t="b" cm="1">
        <f t="array" aca="1" ref="L24" ca="1">_xlfn.LET(
_xlpm.t, RAND(),
_xlpm.visibleCriteria, _xlfn._xlws.FILTER(CriteriaTags, SUBTOTAL(103, OFFSET(CriteriaTags, ROW(CriteriaTags)-MIN(ROW(CriteriaTags)), 0, 1))),
SUMPRODUCT(--ISNUMBER(SEARCH(TRANSPOSE(_xlpm.visibleCriteria), F24)))&gt;0
)</f>
        <v>1</v>
      </c>
    </row>
    <row r="25" spans="1:12" ht="16" hidden="1" customHeight="1" x14ac:dyDescent="0.35">
      <c r="A25" s="131"/>
      <c r="B25" s="150"/>
      <c r="C25" s="38" t="s">
        <v>16</v>
      </c>
      <c r="D25" s="38" t="s">
        <v>10</v>
      </c>
      <c r="E25" s="38" t="s">
        <v>2</v>
      </c>
      <c r="F25" s="38" t="s">
        <v>0</v>
      </c>
      <c r="G25" s="38" t="s">
        <v>3</v>
      </c>
      <c r="H25" s="38" t="s">
        <v>4</v>
      </c>
      <c r="I25" s="141" t="s">
        <v>5</v>
      </c>
      <c r="J25" s="141" t="s">
        <v>6</v>
      </c>
      <c r="K25" s="141" t="s">
        <v>7</v>
      </c>
      <c r="L25" s="139" t="b" cm="1">
        <f t="array" aca="1" ref="L25" ca="1">_xlfn.LET(
_xlpm.t, RAND(),
_xlpm.visibleCriteria, _xlfn._xlws.FILTER(CriteriaTags, SUBTOTAL(103, OFFSET(CriteriaTags, ROW(CriteriaTags)-MIN(ROW(CriteriaTags)), 0, 1))),
SUMPRODUCT(--ISNUMBER(SEARCH(TRANSPOSE(_xlpm.visibleCriteria), F25)))&gt;0
)</f>
        <v>0</v>
      </c>
    </row>
    <row r="26" spans="1:12" ht="16" customHeight="1" x14ac:dyDescent="0.35">
      <c r="A26" s="131"/>
      <c r="B26" s="150"/>
      <c r="C26" s="151">
        <v>1</v>
      </c>
      <c r="D26" s="151" t="s">
        <v>99</v>
      </c>
      <c r="E26" s="152" t="s">
        <v>103</v>
      </c>
      <c r="F26" s="153" t="s">
        <v>61</v>
      </c>
      <c r="G26" s="154" t="s">
        <v>11</v>
      </c>
      <c r="H26" s="154" t="s">
        <v>9</v>
      </c>
      <c r="I26" s="155"/>
      <c r="J26" s="155"/>
      <c r="K26" s="155"/>
      <c r="L26" s="139" t="b" cm="1">
        <f t="array" aca="1" ref="L26" ca="1">_xlfn.LET(
_xlpm.t, RAND(),
_xlpm.visibleCriteria, _xlfn._xlws.FILTER(CriteriaTags, SUBTOTAL(103, OFFSET(CriteriaTags, ROW(CriteriaTags)-MIN(ROW(CriteriaTags)), 0, 1))),
SUMPRODUCT(--ISNUMBER(SEARCH(TRANSPOSE(_xlpm.visibleCriteria), F26)))&gt;0
)</f>
        <v>1</v>
      </c>
    </row>
    <row r="27" spans="1:12" ht="16" customHeight="1" x14ac:dyDescent="0.35">
      <c r="A27" s="131"/>
      <c r="B27" s="150"/>
      <c r="C27" s="151">
        <v>2</v>
      </c>
      <c r="D27" s="151" t="s">
        <v>100</v>
      </c>
      <c r="E27" s="152" t="s">
        <v>104</v>
      </c>
      <c r="F27" s="153" t="s">
        <v>61</v>
      </c>
      <c r="G27" s="154" t="s">
        <v>11</v>
      </c>
      <c r="H27" s="154" t="s">
        <v>9</v>
      </c>
      <c r="I27" s="155"/>
      <c r="J27" s="155"/>
      <c r="K27" s="155"/>
      <c r="L27" s="139" t="b" cm="1">
        <f t="array" aca="1" ref="L27" ca="1">_xlfn.LET(
_xlpm.t, RAND(),
_xlpm.visibleCriteria, _xlfn._xlws.FILTER(CriteriaTags, SUBTOTAL(103, OFFSET(CriteriaTags, ROW(CriteriaTags)-MIN(ROW(CriteriaTags)), 0, 1))),
SUMPRODUCT(--ISNUMBER(SEARCH(TRANSPOSE(_xlpm.visibleCriteria), F27)))&gt;0
)</f>
        <v>1</v>
      </c>
    </row>
    <row r="28" spans="1:12" ht="16" customHeight="1" x14ac:dyDescent="0.35">
      <c r="A28" s="131"/>
      <c r="B28" s="150"/>
      <c r="C28" s="151">
        <v>3</v>
      </c>
      <c r="D28" s="151" t="s">
        <v>101</v>
      </c>
      <c r="E28" s="152" t="s">
        <v>105</v>
      </c>
      <c r="F28" s="153" t="s">
        <v>61</v>
      </c>
      <c r="G28" s="154" t="s">
        <v>11</v>
      </c>
      <c r="H28" s="154" t="s">
        <v>9</v>
      </c>
      <c r="I28" s="155"/>
      <c r="J28" s="155"/>
      <c r="K28" s="155"/>
      <c r="L28" s="139" t="b" cm="1">
        <f t="array" aca="1" ref="L28" ca="1">_xlfn.LET(
_xlpm.t, RAND(),
_xlpm.visibleCriteria, _xlfn._xlws.FILTER(CriteriaTags, SUBTOTAL(103, OFFSET(CriteriaTags, ROW(CriteriaTags)-MIN(ROW(CriteriaTags)), 0, 1))),
SUMPRODUCT(--ISNUMBER(SEARCH(TRANSPOSE(_xlpm.visibleCriteria), F28)))&gt;0
)</f>
        <v>1</v>
      </c>
    </row>
    <row r="29" spans="1:12" ht="18.5" customHeight="1" x14ac:dyDescent="0.35">
      <c r="A29" s="131"/>
      <c r="B29" s="150"/>
      <c r="C29" s="151">
        <v>4</v>
      </c>
      <c r="D29" s="151" t="s">
        <v>102</v>
      </c>
      <c r="E29" s="152" t="s">
        <v>106</v>
      </c>
      <c r="F29" s="153" t="s">
        <v>61</v>
      </c>
      <c r="G29" s="154" t="s">
        <v>11</v>
      </c>
      <c r="H29" s="154" t="s">
        <v>9</v>
      </c>
      <c r="I29" s="155"/>
      <c r="J29" s="155"/>
      <c r="K29" s="155"/>
      <c r="L29" s="139" t="b" cm="1">
        <f t="array" aca="1" ref="L29" ca="1">_xlfn.LET(
_xlpm.t, RAND(),
_xlpm.visibleCriteria, _xlfn._xlws.FILTER(CriteriaTags, SUBTOTAL(103, OFFSET(CriteriaTags, ROW(CriteriaTags)-MIN(ROW(CriteriaTags)), 0, 1))),
SUMPRODUCT(--ISNUMBER(SEARCH(TRANSPOSE(_xlpm.visibleCriteria), F29)))&gt;0
)</f>
        <v>1</v>
      </c>
    </row>
    <row r="30" spans="1:12" ht="16" customHeight="1" x14ac:dyDescent="0.35">
      <c r="A30" s="130">
        <v>4</v>
      </c>
      <c r="B30" s="96" t="s">
        <v>66</v>
      </c>
      <c r="C30" s="96"/>
      <c r="D30" s="96"/>
      <c r="E30" s="88" t="s">
        <v>71</v>
      </c>
      <c r="F30" s="77" t="s">
        <v>62</v>
      </c>
      <c r="G30" s="76" t="s">
        <v>44</v>
      </c>
      <c r="H30" s="76" t="s">
        <v>9</v>
      </c>
      <c r="I30" s="76"/>
      <c r="J30" s="76"/>
      <c r="K30" s="76"/>
      <c r="L30" s="139" t="b" cm="1">
        <f t="array" aca="1" ref="L30" ca="1">_xlfn.LET(
_xlpm.t, RAND(),
_xlpm.visibleCriteria, _xlfn._xlws.FILTER(CriteriaTags, SUBTOTAL(103, OFFSET(CriteriaTags, ROW(CriteriaTags)-MIN(ROW(CriteriaTags)), 0, 1))),
SUMPRODUCT(--ISNUMBER(SEARCH(TRANSPOSE(_xlpm.visibleCriteria), F30)))&gt;0
)</f>
        <v>1</v>
      </c>
    </row>
    <row r="31" spans="1:12" ht="16" hidden="1" customHeight="1" x14ac:dyDescent="0.35">
      <c r="A31" s="130"/>
      <c r="B31" s="63" t="s">
        <v>16</v>
      </c>
      <c r="C31" s="132" t="s">
        <v>10</v>
      </c>
      <c r="D31" s="132"/>
      <c r="E31" s="39" t="s">
        <v>2</v>
      </c>
      <c r="F31" s="39" t="s">
        <v>0</v>
      </c>
      <c r="G31" s="39" t="s">
        <v>3</v>
      </c>
      <c r="H31" s="39" t="s">
        <v>4</v>
      </c>
      <c r="I31" s="64" t="s">
        <v>5</v>
      </c>
      <c r="J31" s="64" t="s">
        <v>6</v>
      </c>
      <c r="K31" s="64" t="s">
        <v>7</v>
      </c>
      <c r="L31" s="139" t="b" cm="1">
        <f t="array" aca="1" ref="L31" ca="1">_xlfn.LET(
_xlpm.t, RAND(),
_xlpm.visibleCriteria, _xlfn._xlws.FILTER(CriteriaTags, SUBTOTAL(103, OFFSET(CriteriaTags, ROW(CriteriaTags)-MIN(ROW(CriteriaTags)), 0, 1))),
SUMPRODUCT(--ISNUMBER(SEARCH(TRANSPOSE(_xlpm.visibleCriteria), F31)))&gt;0
)</f>
        <v>0</v>
      </c>
    </row>
    <row r="32" spans="1:12" ht="16" customHeight="1" x14ac:dyDescent="0.35">
      <c r="A32" s="130"/>
      <c r="B32" s="156">
        <v>1</v>
      </c>
      <c r="C32" s="101" t="s">
        <v>85</v>
      </c>
      <c r="D32" s="101"/>
      <c r="E32" s="84" t="s">
        <v>88</v>
      </c>
      <c r="F32" s="79" t="s">
        <v>91</v>
      </c>
      <c r="G32" s="79" t="s">
        <v>44</v>
      </c>
      <c r="H32" s="79" t="s">
        <v>9</v>
      </c>
      <c r="I32" s="79"/>
      <c r="J32" s="79"/>
      <c r="K32" s="79"/>
      <c r="L32" s="139" t="b" cm="1">
        <f t="array" aca="1" ref="L32" ca="1">_xlfn.LET(
_xlpm.t, RAND(),
_xlpm.visibleCriteria, _xlfn._xlws.FILTER(CriteriaTags, SUBTOTAL(103, OFFSET(CriteriaTags, ROW(CriteriaTags)-MIN(ROW(CriteriaTags)), 0, 1))),
SUMPRODUCT(--ISNUMBER(SEARCH(TRANSPOSE(_xlpm.visibleCriteria), F32)))&gt;0
)</f>
        <v>1</v>
      </c>
    </row>
    <row r="33" spans="1:12" ht="18.5" hidden="1" customHeight="1" x14ac:dyDescent="0.35">
      <c r="A33" s="130"/>
      <c r="B33" s="156"/>
      <c r="C33" s="38" t="s">
        <v>16</v>
      </c>
      <c r="D33" s="38" t="s">
        <v>10</v>
      </c>
      <c r="E33" s="38" t="s">
        <v>2</v>
      </c>
      <c r="F33" s="38" t="s">
        <v>0</v>
      </c>
      <c r="G33" s="38" t="s">
        <v>3</v>
      </c>
      <c r="H33" s="38" t="s">
        <v>4</v>
      </c>
      <c r="I33" s="141" t="s">
        <v>5</v>
      </c>
      <c r="J33" s="141" t="s">
        <v>6</v>
      </c>
      <c r="K33" s="141" t="s">
        <v>7</v>
      </c>
      <c r="L33" s="139" t="b" cm="1">
        <f t="array" aca="1" ref="L33" ca="1">_xlfn.LET(
_xlpm.t, RAND(),
_xlpm.visibleCriteria, _xlfn._xlws.FILTER(CriteriaTags, SUBTOTAL(103, OFFSET(CriteriaTags, ROW(CriteriaTags)-MIN(ROW(CriteriaTags)), 0, 1))),
SUMPRODUCT(--ISNUMBER(SEARCH(TRANSPOSE(_xlpm.visibleCriteria), F33)))&gt;0
)</f>
        <v>0</v>
      </c>
    </row>
    <row r="34" spans="1:12" ht="16" customHeight="1" x14ac:dyDescent="0.35">
      <c r="A34" s="130"/>
      <c r="B34" s="156"/>
      <c r="C34" s="157">
        <v>1</v>
      </c>
      <c r="D34" s="157" t="s">
        <v>107</v>
      </c>
      <c r="E34" s="157" t="s">
        <v>110</v>
      </c>
      <c r="F34" s="158" t="s">
        <v>91</v>
      </c>
      <c r="G34" s="158" t="s">
        <v>44</v>
      </c>
      <c r="H34" s="158" t="s">
        <v>9</v>
      </c>
      <c r="I34" s="158"/>
      <c r="J34" s="158"/>
      <c r="K34" s="158"/>
      <c r="L34" s="139" t="b" cm="1">
        <f t="array" aca="1" ref="L34" ca="1">_xlfn.LET(
_xlpm.t, RAND(),
_xlpm.visibleCriteria, _xlfn._xlws.FILTER(CriteriaTags, SUBTOTAL(103, OFFSET(CriteriaTags, ROW(CriteriaTags)-MIN(ROW(CriteriaTags)), 0, 1))),
SUMPRODUCT(--ISNUMBER(SEARCH(TRANSPOSE(_xlpm.visibleCriteria), F34)))&gt;0
)</f>
        <v>1</v>
      </c>
    </row>
    <row r="35" spans="1:12" ht="16" customHeight="1" x14ac:dyDescent="0.35">
      <c r="A35" s="130"/>
      <c r="B35" s="156">
        <v>2</v>
      </c>
      <c r="C35" s="101" t="s">
        <v>86</v>
      </c>
      <c r="D35" s="101"/>
      <c r="E35" s="84" t="s">
        <v>89</v>
      </c>
      <c r="F35" s="79" t="s">
        <v>91</v>
      </c>
      <c r="G35" s="79" t="s">
        <v>44</v>
      </c>
      <c r="H35" s="79" t="s">
        <v>9</v>
      </c>
      <c r="I35" s="79"/>
      <c r="J35" s="79"/>
      <c r="K35" s="79"/>
      <c r="L35" s="139" t="b" cm="1">
        <f t="array" aca="1" ref="L35" ca="1">_xlfn.LET(
_xlpm.t, RAND(),
_xlpm.visibleCriteria, _xlfn._xlws.FILTER(CriteriaTags, SUBTOTAL(103, OFFSET(CriteriaTags, ROW(CriteriaTags)-MIN(ROW(CriteriaTags)), 0, 1))),
SUMPRODUCT(--ISNUMBER(SEARCH(TRANSPOSE(_xlpm.visibleCriteria), F35)))&gt;0
)</f>
        <v>1</v>
      </c>
    </row>
    <row r="36" spans="1:12" ht="15" hidden="1" customHeight="1" x14ac:dyDescent="0.35">
      <c r="A36" s="130"/>
      <c r="B36" s="156"/>
      <c r="C36" s="38" t="s">
        <v>16</v>
      </c>
      <c r="D36" s="38" t="s">
        <v>10</v>
      </c>
      <c r="E36" s="38" t="s">
        <v>2</v>
      </c>
      <c r="F36" s="38" t="s">
        <v>0</v>
      </c>
      <c r="G36" s="38" t="s">
        <v>3</v>
      </c>
      <c r="H36" s="38" t="s">
        <v>4</v>
      </c>
      <c r="I36" s="141" t="s">
        <v>5</v>
      </c>
      <c r="J36" s="141" t="s">
        <v>6</v>
      </c>
      <c r="K36" s="141" t="s">
        <v>7</v>
      </c>
      <c r="L36" s="139" t="b" cm="1">
        <f t="array" aca="1" ref="L36" ca="1">_xlfn.LET(
_xlpm.t, RAND(),
_xlpm.visibleCriteria, _xlfn._xlws.FILTER(CriteriaTags, SUBTOTAL(103, OFFSET(CriteriaTags, ROW(CriteriaTags)-MIN(ROW(CriteriaTags)), 0, 1))),
SUMPRODUCT(--ISNUMBER(SEARCH(TRANSPOSE(_xlpm.visibleCriteria), F36)))&gt;0
)</f>
        <v>0</v>
      </c>
    </row>
    <row r="37" spans="1:12" ht="15" customHeight="1" x14ac:dyDescent="0.35">
      <c r="A37" s="130"/>
      <c r="B37" s="156"/>
      <c r="C37" s="157">
        <v>1</v>
      </c>
      <c r="D37" s="157" t="s">
        <v>108</v>
      </c>
      <c r="E37" s="157" t="s">
        <v>111</v>
      </c>
      <c r="F37" s="158" t="s">
        <v>91</v>
      </c>
      <c r="G37" s="158" t="s">
        <v>44</v>
      </c>
      <c r="H37" s="158" t="s">
        <v>9</v>
      </c>
      <c r="I37" s="158"/>
      <c r="J37" s="158"/>
      <c r="K37" s="158"/>
      <c r="L37" s="139" t="b" cm="1">
        <f t="array" aca="1" ref="L37" ca="1">_xlfn.LET(
_xlpm.t, RAND(),
_xlpm.visibleCriteria, _xlfn._xlws.FILTER(CriteriaTags, SUBTOTAL(103, OFFSET(CriteriaTags, ROW(CriteriaTags)-MIN(ROW(CriteriaTags)), 0, 1))),
SUMPRODUCT(--ISNUMBER(SEARCH(TRANSPOSE(_xlpm.visibleCriteria), F37)))&gt;0
)</f>
        <v>1</v>
      </c>
    </row>
    <row r="38" spans="1:12" ht="15" customHeight="1" x14ac:dyDescent="0.35">
      <c r="A38" s="130"/>
      <c r="B38" s="156">
        <v>3</v>
      </c>
      <c r="C38" s="101" t="s">
        <v>87</v>
      </c>
      <c r="D38" s="101"/>
      <c r="E38" s="84" t="s">
        <v>90</v>
      </c>
      <c r="F38" s="79" t="s">
        <v>61</v>
      </c>
      <c r="G38" s="79" t="s">
        <v>44</v>
      </c>
      <c r="H38" s="79" t="s">
        <v>9</v>
      </c>
      <c r="I38" s="79"/>
      <c r="J38" s="79"/>
      <c r="K38" s="79"/>
      <c r="L38" s="139" t="b" cm="1">
        <f t="array" aca="1" ref="L38" ca="1">_xlfn.LET(
_xlpm.t, RAND(),
_xlpm.visibleCriteria, _xlfn._xlws.FILTER(CriteriaTags, SUBTOTAL(103, OFFSET(CriteriaTags, ROW(CriteriaTags)-MIN(ROW(CriteriaTags)), 0, 1))),
SUMPRODUCT(--ISNUMBER(SEARCH(TRANSPOSE(_xlpm.visibleCriteria), F38)))&gt;0
)</f>
        <v>1</v>
      </c>
    </row>
    <row r="39" spans="1:12" ht="15" hidden="1" customHeight="1" x14ac:dyDescent="0.35">
      <c r="A39" s="130"/>
      <c r="B39" s="156"/>
      <c r="C39" s="38" t="s">
        <v>16</v>
      </c>
      <c r="D39" s="38" t="s">
        <v>10</v>
      </c>
      <c r="E39" s="38" t="s">
        <v>2</v>
      </c>
      <c r="F39" s="38" t="s">
        <v>0</v>
      </c>
      <c r="G39" s="38" t="s">
        <v>3</v>
      </c>
      <c r="H39" s="38" t="s">
        <v>4</v>
      </c>
      <c r="I39" s="141" t="s">
        <v>5</v>
      </c>
      <c r="J39" s="141" t="s">
        <v>6</v>
      </c>
      <c r="K39" s="141" t="s">
        <v>7</v>
      </c>
      <c r="L39" s="139" t="b" cm="1">
        <f t="array" aca="1" ref="L39" ca="1">_xlfn.LET(
_xlpm.t, RAND(),
_xlpm.visibleCriteria, _xlfn._xlws.FILTER(CriteriaTags, SUBTOTAL(103, OFFSET(CriteriaTags, ROW(CriteriaTags)-MIN(ROW(CriteriaTags)), 0, 1))),
SUMPRODUCT(--ISNUMBER(SEARCH(TRANSPOSE(_xlpm.visibleCriteria), F39)))&gt;0
)</f>
        <v>0</v>
      </c>
    </row>
    <row r="40" spans="1:12" ht="15" customHeight="1" x14ac:dyDescent="0.35">
      <c r="A40" s="130"/>
      <c r="B40" s="156"/>
      <c r="C40" s="157">
        <v>1</v>
      </c>
      <c r="D40" s="157" t="s">
        <v>109</v>
      </c>
      <c r="E40" s="157" t="s">
        <v>112</v>
      </c>
      <c r="F40" s="158" t="s">
        <v>61</v>
      </c>
      <c r="G40" s="158" t="s">
        <v>44</v>
      </c>
      <c r="H40" s="158" t="s">
        <v>9</v>
      </c>
      <c r="I40" s="158"/>
      <c r="J40" s="158"/>
      <c r="K40" s="158"/>
      <c r="L40" s="139" t="b" cm="1">
        <f t="array" aca="1" ref="L40" ca="1">_xlfn.LET(
_xlpm.t, RAND(),
_xlpm.visibleCriteria, _xlfn._xlws.FILTER(CriteriaTags, SUBTOTAL(103, OFFSET(CriteriaTags, ROW(CriteriaTags)-MIN(ROW(CriteriaTags)), 0, 1))),
SUMPRODUCT(--ISNUMBER(SEARCH(TRANSPOSE(_xlpm.visibleCriteria), F40)))&gt;0
)</f>
        <v>1</v>
      </c>
    </row>
  </sheetData>
  <autoFilter ref="A12:L40" xr:uid="{A1BFC5C2-A9BA-447A-8C96-12BDDB9014CF}">
    <filterColumn colId="1" showButton="0"/>
    <filterColumn colId="2" showButton="0"/>
    <filterColumn colId="11">
      <filters>
        <filter val="TRUE"/>
      </filters>
    </filterColumn>
  </autoFilter>
  <mergeCells count="22">
    <mergeCell ref="A22:A29"/>
    <mergeCell ref="C35:D35"/>
    <mergeCell ref="C18:D18"/>
    <mergeCell ref="B22:D22"/>
    <mergeCell ref="C23:D23"/>
    <mergeCell ref="B24:B29"/>
    <mergeCell ref="C24:D24"/>
    <mergeCell ref="B12:D12"/>
    <mergeCell ref="A13:A21"/>
    <mergeCell ref="B13:D13"/>
    <mergeCell ref="C14:D14"/>
    <mergeCell ref="B15:B17"/>
    <mergeCell ref="C15:D15"/>
    <mergeCell ref="B18:B21"/>
    <mergeCell ref="A30:A40"/>
    <mergeCell ref="B30:D30"/>
    <mergeCell ref="C31:D31"/>
    <mergeCell ref="B32:B34"/>
    <mergeCell ref="C32:D32"/>
    <mergeCell ref="B35:B37"/>
    <mergeCell ref="B38:B40"/>
    <mergeCell ref="C38:D3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freshFilter">
                <anchor moveWithCells="1" sizeWithCells="1">
                  <from>
                    <xdr:col>4</xdr:col>
                    <xdr:colOff>133350</xdr:colOff>
                    <xdr:row>0</xdr:row>
                    <xdr:rowOff>38100</xdr:rowOff>
                  </from>
                  <to>
                    <xdr:col>4</xdr:col>
                    <xdr:colOff>1428750</xdr:colOff>
                    <xdr:row>0</xdr:row>
                    <xdr:rowOff>368300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C30E3A-9E41-4B70-A3EF-C4A917137152}">
          <x14:formula1>
            <xm:f>'conformity topics'!$A$2:$A$16</xm:f>
          </x14:formula1>
          <xm:sqref>G26:G30 G17:G18 G24 G40 G15 G13 G20:G22 G32 G34:G35 G37:G38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A004F-4704-4DD8-8140-02DF3304707E}">
  <sheetPr codeName="Sheet4"/>
  <dimension ref="A1:K6"/>
  <sheetViews>
    <sheetView zoomScale="70" zoomScaleNormal="70" workbookViewId="0">
      <selection activeCell="B5" sqref="B5:K5"/>
    </sheetView>
  </sheetViews>
  <sheetFormatPr defaultRowHeight="14.5" x14ac:dyDescent="0.35"/>
  <cols>
    <col min="1" max="2" width="4.81640625" customWidth="1"/>
    <col min="3" max="3" width="11.26953125" customWidth="1"/>
    <col min="4" max="4" width="52" customWidth="1"/>
    <col min="5" max="5" width="128.453125" customWidth="1"/>
    <col min="6" max="6" width="28.26953125" style="1" customWidth="1"/>
    <col min="7" max="7" width="30.54296875" customWidth="1"/>
    <col min="8" max="8" width="16.81640625" style="1" customWidth="1"/>
    <col min="9" max="9" width="20.453125" customWidth="1"/>
    <col min="10" max="10" width="23.81640625" customWidth="1"/>
    <col min="11" max="11" width="12.1796875" bestFit="1" customWidth="1"/>
  </cols>
  <sheetData>
    <row r="1" spans="1:11" ht="21" customHeight="1" x14ac:dyDescent="0.35">
      <c r="A1" s="41" t="s">
        <v>16</v>
      </c>
      <c r="B1" s="102" t="s">
        <v>17</v>
      </c>
      <c r="C1" s="103"/>
      <c r="D1" s="104"/>
      <c r="E1" s="9" t="s">
        <v>2</v>
      </c>
      <c r="F1" s="9" t="s">
        <v>0</v>
      </c>
      <c r="G1" s="10" t="s">
        <v>3</v>
      </c>
      <c r="H1" s="10" t="s">
        <v>4</v>
      </c>
      <c r="I1" s="11" t="s">
        <v>5</v>
      </c>
      <c r="J1" s="11" t="s">
        <v>6</v>
      </c>
      <c r="K1" s="11" t="s">
        <v>7</v>
      </c>
    </row>
    <row r="2" spans="1:11" ht="48" customHeight="1" x14ac:dyDescent="0.35">
      <c r="A2" s="42">
        <v>1</v>
      </c>
      <c r="B2" s="118" t="s">
        <v>59</v>
      </c>
      <c r="C2" s="119"/>
      <c r="D2" s="120"/>
      <c r="E2" s="47" t="s">
        <v>68</v>
      </c>
      <c r="F2" s="48" t="s">
        <v>1</v>
      </c>
      <c r="G2" s="5" t="s">
        <v>8</v>
      </c>
      <c r="H2" s="8" t="s">
        <v>9</v>
      </c>
      <c r="I2" s="40"/>
      <c r="J2" s="40"/>
      <c r="K2" s="40"/>
    </row>
    <row r="3" spans="1:11" ht="48" customHeight="1" x14ac:dyDescent="0.35">
      <c r="A3" s="43">
        <v>2</v>
      </c>
      <c r="B3" s="121" t="s">
        <v>64</v>
      </c>
      <c r="C3" s="122"/>
      <c r="D3" s="123"/>
      <c r="E3" s="49" t="s">
        <v>69</v>
      </c>
      <c r="F3" s="50" t="s">
        <v>60</v>
      </c>
      <c r="G3" s="51" t="s">
        <v>11</v>
      </c>
      <c r="H3" s="52" t="s">
        <v>9</v>
      </c>
      <c r="I3" s="32"/>
      <c r="J3" s="55"/>
      <c r="K3" s="55"/>
    </row>
    <row r="4" spans="1:11" ht="74" customHeight="1" x14ac:dyDescent="0.35">
      <c r="A4" s="44">
        <v>3</v>
      </c>
      <c r="B4" s="124" t="s">
        <v>65</v>
      </c>
      <c r="C4" s="125"/>
      <c r="D4" s="126"/>
      <c r="E4" s="23" t="s">
        <v>70</v>
      </c>
      <c r="F4" s="35" t="s">
        <v>61</v>
      </c>
      <c r="G4" s="23" t="s">
        <v>11</v>
      </c>
      <c r="H4" s="24" t="s">
        <v>9</v>
      </c>
      <c r="I4" s="53"/>
      <c r="J4" s="56"/>
      <c r="K4" s="56"/>
    </row>
    <row r="5" spans="1:11" ht="64" customHeight="1" x14ac:dyDescent="0.35">
      <c r="A5" s="45">
        <v>4</v>
      </c>
      <c r="B5" s="127" t="s">
        <v>66</v>
      </c>
      <c r="C5" s="128"/>
      <c r="D5" s="129"/>
      <c r="E5" s="4" t="s">
        <v>71</v>
      </c>
      <c r="F5" s="22" t="s">
        <v>62</v>
      </c>
      <c r="G5" s="4" t="s">
        <v>44</v>
      </c>
      <c r="H5" s="7" t="s">
        <v>9</v>
      </c>
      <c r="I5" s="4"/>
      <c r="J5" s="54"/>
      <c r="K5" s="54"/>
    </row>
    <row r="6" spans="1:11" ht="37" customHeight="1" x14ac:dyDescent="0.35">
      <c r="A6" s="46">
        <v>5</v>
      </c>
      <c r="B6" s="118" t="s">
        <v>67</v>
      </c>
      <c r="C6" s="119"/>
      <c r="D6" s="120"/>
      <c r="E6" s="5" t="s">
        <v>72</v>
      </c>
      <c r="F6" s="8" t="s">
        <v>63</v>
      </c>
      <c r="G6" s="6" t="s">
        <v>12</v>
      </c>
      <c r="H6" s="30" t="s">
        <v>9</v>
      </c>
      <c r="I6" s="6"/>
      <c r="J6" s="6"/>
      <c r="K6" s="6"/>
    </row>
  </sheetData>
  <mergeCells count="6">
    <mergeCell ref="B6:D6"/>
    <mergeCell ref="B1:D1"/>
    <mergeCell ref="B2:D2"/>
    <mergeCell ref="B3:D3"/>
    <mergeCell ref="B4:D4"/>
    <mergeCell ref="B5:D5"/>
  </mergeCells>
  <phoneticPr fontId="16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5E6941E-36A6-48C0-8402-4314FD220B21}">
          <x14:formula1>
            <xm:f>'conformity topics'!$A$2:$A$16</xm:f>
          </x14:formula1>
          <xm:sqref>G2:G6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D20F8-42A4-4C99-ABBC-66D95160CF4A}">
  <sheetPr codeName="Sheet5"/>
  <dimension ref="A1:K18"/>
  <sheetViews>
    <sheetView zoomScale="70" zoomScaleNormal="70" workbookViewId="0">
      <selection activeCell="C16" sqref="C16:K16"/>
    </sheetView>
  </sheetViews>
  <sheetFormatPr defaultRowHeight="14.5" x14ac:dyDescent="0.35"/>
  <cols>
    <col min="1" max="2" width="4.81640625" style="26" customWidth="1"/>
    <col min="3" max="3" width="11.26953125" style="26" customWidth="1"/>
    <col min="4" max="4" width="52" style="26" customWidth="1"/>
    <col min="5" max="5" width="128.453125" style="26" customWidth="1"/>
    <col min="6" max="6" width="28.26953125" style="26" customWidth="1"/>
    <col min="7" max="7" width="34.453125" style="26" customWidth="1"/>
    <col min="8" max="8" width="16.81640625" style="26" customWidth="1"/>
    <col min="9" max="9" width="20.453125" style="26" customWidth="1"/>
    <col min="10" max="10" width="23.81640625" style="26" customWidth="1"/>
    <col min="11" max="11" width="12.1796875" style="26" bestFit="1" customWidth="1"/>
    <col min="12" max="16384" width="8.7265625" style="26"/>
  </cols>
  <sheetData>
    <row r="1" spans="1:11" ht="21" customHeight="1" x14ac:dyDescent="0.35">
      <c r="A1" s="58" t="s">
        <v>16</v>
      </c>
      <c r="B1" s="134" t="s">
        <v>17</v>
      </c>
      <c r="C1" s="134"/>
      <c r="D1" s="134"/>
      <c r="E1" s="59" t="s">
        <v>2</v>
      </c>
      <c r="F1" s="59" t="s">
        <v>0</v>
      </c>
      <c r="G1" s="59" t="s">
        <v>3</v>
      </c>
      <c r="H1" s="59" t="s">
        <v>4</v>
      </c>
      <c r="I1" s="60" t="s">
        <v>5</v>
      </c>
      <c r="J1" s="60" t="s">
        <v>6</v>
      </c>
      <c r="K1" s="60" t="s">
        <v>7</v>
      </c>
    </row>
    <row r="2" spans="1:11" ht="48" customHeight="1" x14ac:dyDescent="0.35">
      <c r="A2" s="135">
        <v>1</v>
      </c>
      <c r="B2" s="136" t="s">
        <v>59</v>
      </c>
      <c r="C2" s="136"/>
      <c r="D2" s="136"/>
      <c r="E2" s="85" t="s">
        <v>68</v>
      </c>
      <c r="F2" s="62" t="s">
        <v>1</v>
      </c>
      <c r="G2" s="62" t="s">
        <v>8</v>
      </c>
      <c r="H2" s="62" t="s">
        <v>9</v>
      </c>
      <c r="I2" s="61"/>
      <c r="J2" s="61"/>
      <c r="K2" s="61"/>
    </row>
    <row r="3" spans="1:11" ht="18.649999999999999" customHeight="1" x14ac:dyDescent="0.35">
      <c r="A3" s="135"/>
      <c r="B3" s="63" t="s">
        <v>16</v>
      </c>
      <c r="C3" s="132" t="s">
        <v>10</v>
      </c>
      <c r="D3" s="132"/>
      <c r="E3" s="39" t="s">
        <v>2</v>
      </c>
      <c r="F3" s="39" t="s">
        <v>0</v>
      </c>
      <c r="G3" s="39" t="s">
        <v>3</v>
      </c>
      <c r="H3" s="39" t="s">
        <v>4</v>
      </c>
      <c r="I3" s="64" t="s">
        <v>5</v>
      </c>
      <c r="J3" s="64" t="s">
        <v>6</v>
      </c>
      <c r="K3" s="64" t="s">
        <v>7</v>
      </c>
    </row>
    <row r="4" spans="1:11" ht="48" customHeight="1" x14ac:dyDescent="0.35">
      <c r="A4" s="135"/>
      <c r="B4" s="65">
        <v>1</v>
      </c>
      <c r="C4" s="137" t="s">
        <v>73</v>
      </c>
      <c r="D4" s="137"/>
      <c r="E4" s="82" t="s">
        <v>75</v>
      </c>
      <c r="F4" s="66" t="s">
        <v>1</v>
      </c>
      <c r="G4" s="66" t="s">
        <v>8</v>
      </c>
      <c r="H4" s="66" t="s">
        <v>9</v>
      </c>
      <c r="I4" s="65"/>
      <c r="J4" s="65"/>
      <c r="K4" s="65"/>
    </row>
    <row r="5" spans="1:11" ht="16" customHeight="1" x14ac:dyDescent="0.35">
      <c r="A5" s="135"/>
      <c r="B5" s="65">
        <v>2</v>
      </c>
      <c r="C5" s="137" t="s">
        <v>74</v>
      </c>
      <c r="D5" s="137"/>
      <c r="E5" s="82" t="s">
        <v>76</v>
      </c>
      <c r="F5" s="66" t="s">
        <v>1</v>
      </c>
      <c r="G5" s="66" t="s">
        <v>8</v>
      </c>
      <c r="H5" s="66" t="s">
        <v>9</v>
      </c>
      <c r="I5" s="65"/>
      <c r="J5" s="65"/>
      <c r="K5" s="65"/>
    </row>
    <row r="6" spans="1:11" ht="48" customHeight="1" x14ac:dyDescent="0.35">
      <c r="A6" s="133">
        <v>2</v>
      </c>
      <c r="B6" s="107" t="s">
        <v>64</v>
      </c>
      <c r="C6" s="107"/>
      <c r="D6" s="107"/>
      <c r="E6" s="86" t="s">
        <v>69</v>
      </c>
      <c r="F6" s="68" t="s">
        <v>60</v>
      </c>
      <c r="G6" s="68" t="s">
        <v>11</v>
      </c>
      <c r="H6" s="68" t="s">
        <v>9</v>
      </c>
      <c r="I6" s="67"/>
      <c r="J6" s="67"/>
      <c r="K6" s="67"/>
    </row>
    <row r="7" spans="1:11" ht="18.5" customHeight="1" x14ac:dyDescent="0.35">
      <c r="A7" s="133"/>
      <c r="B7" s="63" t="s">
        <v>16</v>
      </c>
      <c r="C7" s="132" t="s">
        <v>10</v>
      </c>
      <c r="D7" s="132"/>
      <c r="E7" s="39" t="s">
        <v>2</v>
      </c>
      <c r="F7" s="39" t="s">
        <v>0</v>
      </c>
      <c r="G7" s="39" t="s">
        <v>3</v>
      </c>
      <c r="H7" s="39" t="s">
        <v>4</v>
      </c>
      <c r="I7" s="64" t="s">
        <v>5</v>
      </c>
      <c r="J7" s="64" t="s">
        <v>6</v>
      </c>
      <c r="K7" s="64" t="s">
        <v>7</v>
      </c>
    </row>
    <row r="8" spans="1:11" ht="48" customHeight="1" x14ac:dyDescent="0.35">
      <c r="A8" s="133"/>
      <c r="B8" s="69">
        <v>1</v>
      </c>
      <c r="C8" s="110" t="s">
        <v>77</v>
      </c>
      <c r="D8" s="110"/>
      <c r="E8" s="83" t="s">
        <v>81</v>
      </c>
      <c r="F8" s="70" t="s">
        <v>60</v>
      </c>
      <c r="G8" s="71" t="s">
        <v>11</v>
      </c>
      <c r="H8" s="71" t="s">
        <v>9</v>
      </c>
      <c r="I8" s="71"/>
      <c r="J8" s="71"/>
      <c r="K8" s="71"/>
    </row>
    <row r="9" spans="1:11" ht="74" customHeight="1" x14ac:dyDescent="0.35">
      <c r="A9" s="131">
        <v>3</v>
      </c>
      <c r="B9" s="113" t="s">
        <v>65</v>
      </c>
      <c r="C9" s="113"/>
      <c r="D9" s="113"/>
      <c r="E9" s="87" t="s">
        <v>70</v>
      </c>
      <c r="F9" s="72" t="s">
        <v>61</v>
      </c>
      <c r="G9" s="72" t="s">
        <v>11</v>
      </c>
      <c r="H9" s="72" t="s">
        <v>9</v>
      </c>
      <c r="I9" s="57"/>
      <c r="J9" s="57"/>
      <c r="K9" s="57"/>
    </row>
    <row r="10" spans="1:11" ht="18.5" customHeight="1" x14ac:dyDescent="0.35">
      <c r="A10" s="131"/>
      <c r="B10" s="63" t="s">
        <v>16</v>
      </c>
      <c r="C10" s="132" t="s">
        <v>10</v>
      </c>
      <c r="D10" s="132"/>
      <c r="E10" s="39" t="s">
        <v>2</v>
      </c>
      <c r="F10" s="39" t="s">
        <v>0</v>
      </c>
      <c r="G10" s="39" t="s">
        <v>3</v>
      </c>
      <c r="H10" s="39" t="s">
        <v>4</v>
      </c>
      <c r="I10" s="64" t="s">
        <v>5</v>
      </c>
      <c r="J10" s="64" t="s">
        <v>6</v>
      </c>
      <c r="K10" s="64" t="s">
        <v>7</v>
      </c>
    </row>
    <row r="11" spans="1:11" ht="16" customHeight="1" x14ac:dyDescent="0.35">
      <c r="A11" s="131"/>
      <c r="B11" s="73">
        <v>1</v>
      </c>
      <c r="C11" s="117" t="s">
        <v>78</v>
      </c>
      <c r="D11" s="117"/>
      <c r="E11" s="81" t="s">
        <v>82</v>
      </c>
      <c r="F11" s="74" t="s">
        <v>61</v>
      </c>
      <c r="G11" s="75" t="s">
        <v>11</v>
      </c>
      <c r="H11" s="75" t="s">
        <v>9</v>
      </c>
      <c r="I11" s="75"/>
      <c r="J11" s="75"/>
      <c r="K11" s="75"/>
    </row>
    <row r="12" spans="1:11" ht="48" customHeight="1" x14ac:dyDescent="0.35">
      <c r="A12" s="131"/>
      <c r="B12" s="73">
        <v>2</v>
      </c>
      <c r="C12" s="117" t="s">
        <v>79</v>
      </c>
      <c r="D12" s="117"/>
      <c r="E12" s="81" t="s">
        <v>83</v>
      </c>
      <c r="F12" s="74" t="s">
        <v>61</v>
      </c>
      <c r="G12" s="75" t="s">
        <v>11</v>
      </c>
      <c r="H12" s="75" t="s">
        <v>9</v>
      </c>
      <c r="I12" s="75"/>
      <c r="J12" s="75"/>
      <c r="K12" s="75"/>
    </row>
    <row r="13" spans="1:11" ht="16" customHeight="1" x14ac:dyDescent="0.35">
      <c r="A13" s="131"/>
      <c r="B13" s="73">
        <v>3</v>
      </c>
      <c r="C13" s="117" t="s">
        <v>80</v>
      </c>
      <c r="D13" s="117"/>
      <c r="E13" s="81" t="s">
        <v>84</v>
      </c>
      <c r="F13" s="74" t="s">
        <v>61</v>
      </c>
      <c r="G13" s="75"/>
      <c r="H13" s="75" t="s">
        <v>9</v>
      </c>
      <c r="I13" s="75"/>
      <c r="J13" s="75"/>
      <c r="K13" s="75"/>
    </row>
    <row r="14" spans="1:11" ht="37" customHeight="1" x14ac:dyDescent="0.35">
      <c r="A14" s="130">
        <v>4</v>
      </c>
      <c r="B14" s="96" t="s">
        <v>66</v>
      </c>
      <c r="C14" s="96"/>
      <c r="D14" s="96"/>
      <c r="E14" s="88" t="s">
        <v>71</v>
      </c>
      <c r="F14" s="77" t="s">
        <v>62</v>
      </c>
      <c r="G14" s="76" t="s">
        <v>44</v>
      </c>
      <c r="H14" s="76" t="s">
        <v>9</v>
      </c>
      <c r="I14" s="76"/>
      <c r="J14" s="76"/>
      <c r="K14" s="76"/>
    </row>
    <row r="15" spans="1:11" ht="18.5" x14ac:dyDescent="0.35">
      <c r="A15" s="130"/>
      <c r="B15" s="63" t="s">
        <v>16</v>
      </c>
      <c r="C15" s="132" t="s">
        <v>10</v>
      </c>
      <c r="D15" s="132"/>
      <c r="E15" s="39" t="s">
        <v>2</v>
      </c>
      <c r="F15" s="39" t="s">
        <v>0</v>
      </c>
      <c r="G15" s="39" t="s">
        <v>3</v>
      </c>
      <c r="H15" s="39" t="s">
        <v>4</v>
      </c>
      <c r="I15" s="64" t="s">
        <v>5</v>
      </c>
      <c r="J15" s="64" t="s">
        <v>6</v>
      </c>
      <c r="K15" s="64" t="s">
        <v>7</v>
      </c>
    </row>
    <row r="16" spans="1:11" ht="16" x14ac:dyDescent="0.35">
      <c r="A16" s="130"/>
      <c r="B16" s="78">
        <v>1</v>
      </c>
      <c r="C16" s="101" t="s">
        <v>85</v>
      </c>
      <c r="D16" s="101"/>
      <c r="E16" s="84" t="s">
        <v>88</v>
      </c>
      <c r="F16" s="79" t="s">
        <v>91</v>
      </c>
      <c r="G16" s="79"/>
      <c r="H16" s="79" t="s">
        <v>9</v>
      </c>
      <c r="I16" s="79"/>
      <c r="J16" s="79"/>
      <c r="K16" s="79"/>
    </row>
    <row r="17" spans="1:11" ht="32" customHeight="1" x14ac:dyDescent="0.35">
      <c r="A17" s="130"/>
      <c r="B17" s="78">
        <v>2</v>
      </c>
      <c r="C17" s="101" t="s">
        <v>86</v>
      </c>
      <c r="D17" s="101"/>
      <c r="E17" s="84" t="s">
        <v>89</v>
      </c>
      <c r="F17" s="80" t="s">
        <v>61</v>
      </c>
      <c r="G17" s="79"/>
      <c r="H17" s="79" t="s">
        <v>9</v>
      </c>
      <c r="I17" s="79"/>
      <c r="J17" s="79"/>
      <c r="K17" s="79"/>
    </row>
    <row r="18" spans="1:11" ht="48" customHeight="1" x14ac:dyDescent="0.35">
      <c r="A18" s="130"/>
      <c r="B18" s="78">
        <v>3</v>
      </c>
      <c r="C18" s="101" t="s">
        <v>87</v>
      </c>
      <c r="D18" s="101"/>
      <c r="E18" s="84" t="s">
        <v>90</v>
      </c>
      <c r="F18" s="80" t="s">
        <v>91</v>
      </c>
      <c r="G18" s="79"/>
      <c r="H18" s="79" t="s">
        <v>9</v>
      </c>
      <c r="I18" s="79"/>
      <c r="J18" s="79"/>
      <c r="K18" s="79"/>
    </row>
  </sheetData>
  <mergeCells count="22">
    <mergeCell ref="B1:D1"/>
    <mergeCell ref="A2:A5"/>
    <mergeCell ref="B2:D2"/>
    <mergeCell ref="C3:D3"/>
    <mergeCell ref="C4:D4"/>
    <mergeCell ref="C5:D5"/>
    <mergeCell ref="A6:A8"/>
    <mergeCell ref="B6:D6"/>
    <mergeCell ref="C7:D7"/>
    <mergeCell ref="C8:D8"/>
    <mergeCell ref="C16:D16"/>
    <mergeCell ref="C15:D15"/>
    <mergeCell ref="C18:D18"/>
    <mergeCell ref="A14:A18"/>
    <mergeCell ref="B14:D14"/>
    <mergeCell ref="C12:D12"/>
    <mergeCell ref="C13:D13"/>
    <mergeCell ref="A9:A13"/>
    <mergeCell ref="B9:D9"/>
    <mergeCell ref="C10:D10"/>
    <mergeCell ref="C11:D11"/>
    <mergeCell ref="C17:D1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DD9B9A-B707-4461-B8BB-34A22182FECC}">
          <x14:formula1>
            <xm:f>'conformity topics'!$A$2:$A$16</xm:f>
          </x14:formula1>
          <xm:sqref>G16:G18 G2 G4:G6 G8:G9 G11:G14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45CF3-B38D-4ABF-A3D5-6775F4B56FAA}">
  <sheetPr codeName="Sheet6"/>
  <dimension ref="A1:K29"/>
  <sheetViews>
    <sheetView zoomScale="70" zoomScaleNormal="70" workbookViewId="0">
      <selection activeCell="K29" sqref="A1:K29"/>
    </sheetView>
  </sheetViews>
  <sheetFormatPr defaultRowHeight="14.5" x14ac:dyDescent="0.35"/>
  <cols>
    <col min="1" max="2" width="4.81640625" customWidth="1"/>
    <col min="3" max="3" width="11.26953125" customWidth="1"/>
    <col min="4" max="4" width="52" customWidth="1"/>
    <col min="5" max="5" width="128.453125" customWidth="1"/>
    <col min="6" max="6" width="28.26953125" style="1" customWidth="1"/>
    <col min="7" max="7" width="29.26953125" style="1" customWidth="1"/>
    <col min="8" max="8" width="16.81640625" style="1" customWidth="1"/>
    <col min="9" max="9" width="20.453125" customWidth="1"/>
    <col min="10" max="10" width="23.81640625" customWidth="1"/>
    <col min="11" max="11" width="12.1796875" bestFit="1" customWidth="1"/>
  </cols>
  <sheetData>
    <row r="1" spans="1:11" ht="21" customHeight="1" x14ac:dyDescent="0.35">
      <c r="A1" s="41" t="s">
        <v>16</v>
      </c>
      <c r="B1" s="102" t="s">
        <v>17</v>
      </c>
      <c r="C1" s="103"/>
      <c r="D1" s="104"/>
      <c r="E1" s="9" t="s">
        <v>2</v>
      </c>
      <c r="F1" s="9" t="s">
        <v>0</v>
      </c>
      <c r="G1" s="10" t="s">
        <v>3</v>
      </c>
      <c r="H1" s="10" t="s">
        <v>4</v>
      </c>
      <c r="I1" s="11" t="s">
        <v>5</v>
      </c>
      <c r="J1" s="11" t="s">
        <v>6</v>
      </c>
      <c r="K1" s="11" t="s">
        <v>7</v>
      </c>
    </row>
    <row r="2" spans="1:11" ht="48" customHeight="1" x14ac:dyDescent="0.35">
      <c r="A2" s="105">
        <v>2</v>
      </c>
      <c r="B2" s="107" t="s">
        <v>64</v>
      </c>
      <c r="C2" s="107"/>
      <c r="D2" s="107"/>
      <c r="E2" s="86" t="s">
        <v>69</v>
      </c>
      <c r="F2" s="68" t="s">
        <v>60</v>
      </c>
      <c r="G2" s="68" t="s">
        <v>11</v>
      </c>
      <c r="H2" s="68" t="s">
        <v>9</v>
      </c>
      <c r="I2" s="67"/>
      <c r="J2" s="67"/>
      <c r="K2" s="67"/>
    </row>
    <row r="3" spans="1:11" ht="18.5" customHeight="1" x14ac:dyDescent="0.35">
      <c r="A3" s="106"/>
      <c r="B3" s="27" t="s">
        <v>16</v>
      </c>
      <c r="C3" s="97" t="s">
        <v>10</v>
      </c>
      <c r="D3" s="98"/>
      <c r="E3" s="16" t="s">
        <v>2</v>
      </c>
      <c r="F3" s="17" t="s">
        <v>0</v>
      </c>
      <c r="G3" s="16" t="s">
        <v>3</v>
      </c>
      <c r="H3" s="16" t="s">
        <v>4</v>
      </c>
      <c r="I3" s="18" t="s">
        <v>5</v>
      </c>
      <c r="J3" s="18" t="s">
        <v>6</v>
      </c>
      <c r="K3" s="18" t="s">
        <v>7</v>
      </c>
    </row>
    <row r="4" spans="1:11" ht="48" customHeight="1" x14ac:dyDescent="0.35">
      <c r="A4" s="106"/>
      <c r="B4" s="108">
        <v>1</v>
      </c>
      <c r="C4" s="110" t="s">
        <v>77</v>
      </c>
      <c r="D4" s="110"/>
      <c r="E4" s="83" t="s">
        <v>81</v>
      </c>
      <c r="F4" s="70" t="s">
        <v>1</v>
      </c>
      <c r="G4" s="71" t="s">
        <v>11</v>
      </c>
      <c r="H4" s="71" t="s">
        <v>9</v>
      </c>
      <c r="I4" s="71"/>
      <c r="J4" s="71"/>
      <c r="K4" s="71"/>
    </row>
    <row r="5" spans="1:11" ht="16" customHeight="1" x14ac:dyDescent="0.35">
      <c r="A5" s="106"/>
      <c r="B5" s="109"/>
      <c r="C5" s="19" t="s">
        <v>16</v>
      </c>
      <c r="D5" s="19" t="s">
        <v>10</v>
      </c>
      <c r="E5" s="19" t="s">
        <v>2</v>
      </c>
      <c r="F5" s="38" t="s">
        <v>0</v>
      </c>
      <c r="G5" s="33" t="s">
        <v>3</v>
      </c>
      <c r="H5" s="20" t="s">
        <v>4</v>
      </c>
      <c r="I5" s="21" t="s">
        <v>5</v>
      </c>
      <c r="J5" s="21" t="s">
        <v>6</v>
      </c>
      <c r="K5" s="21" t="s">
        <v>7</v>
      </c>
    </row>
    <row r="6" spans="1:11" ht="16" customHeight="1" x14ac:dyDescent="0.35">
      <c r="A6" s="106"/>
      <c r="B6" s="109"/>
      <c r="C6" s="2">
        <v>1</v>
      </c>
      <c r="D6" s="2" t="s">
        <v>93</v>
      </c>
      <c r="E6" s="90" t="s">
        <v>95</v>
      </c>
      <c r="F6" s="36" t="s">
        <v>1</v>
      </c>
      <c r="G6" s="28" t="s">
        <v>11</v>
      </c>
      <c r="H6" s="28" t="s">
        <v>9</v>
      </c>
      <c r="I6" s="3"/>
      <c r="J6" s="3"/>
      <c r="K6" s="3"/>
    </row>
    <row r="7" spans="1:11" ht="32" x14ac:dyDescent="0.35">
      <c r="A7" s="106"/>
      <c r="B7" s="108">
        <v>2</v>
      </c>
      <c r="C7" s="110" t="s">
        <v>92</v>
      </c>
      <c r="D7" s="110"/>
      <c r="E7" s="83" t="s">
        <v>81</v>
      </c>
      <c r="F7" s="70" t="s">
        <v>60</v>
      </c>
      <c r="G7" s="71" t="s">
        <v>11</v>
      </c>
      <c r="H7" s="71" t="s">
        <v>9</v>
      </c>
      <c r="I7" s="71"/>
      <c r="J7" s="71"/>
      <c r="K7" s="71"/>
    </row>
    <row r="8" spans="1:11" ht="16" customHeight="1" x14ac:dyDescent="0.35">
      <c r="A8" s="106"/>
      <c r="B8" s="109"/>
      <c r="C8" s="19" t="s">
        <v>16</v>
      </c>
      <c r="D8" s="19" t="s">
        <v>10</v>
      </c>
      <c r="E8" s="19" t="s">
        <v>2</v>
      </c>
      <c r="F8" s="38" t="s">
        <v>0</v>
      </c>
      <c r="G8" s="33" t="s">
        <v>3</v>
      </c>
      <c r="H8" s="20" t="s">
        <v>4</v>
      </c>
      <c r="I8" s="21" t="s">
        <v>5</v>
      </c>
      <c r="J8" s="21" t="s">
        <v>6</v>
      </c>
      <c r="K8" s="21" t="s">
        <v>7</v>
      </c>
    </row>
    <row r="9" spans="1:11" ht="16" customHeight="1" x14ac:dyDescent="0.35">
      <c r="A9" s="106"/>
      <c r="B9" s="109"/>
      <c r="C9" s="2">
        <v>1</v>
      </c>
      <c r="D9" s="2" t="s">
        <v>94</v>
      </c>
      <c r="E9" s="90" t="s">
        <v>96</v>
      </c>
      <c r="F9" s="37" t="s">
        <v>1</v>
      </c>
      <c r="G9" s="89" t="s">
        <v>11</v>
      </c>
      <c r="H9" s="28" t="s">
        <v>9</v>
      </c>
      <c r="I9" s="13"/>
      <c r="J9" s="13"/>
      <c r="K9" s="13"/>
    </row>
    <row r="10" spans="1:11" ht="16" x14ac:dyDescent="0.35">
      <c r="A10" s="106"/>
      <c r="B10" s="109"/>
      <c r="C10" s="2">
        <v>2</v>
      </c>
      <c r="D10" s="2" t="s">
        <v>97</v>
      </c>
      <c r="E10" s="90" t="s">
        <v>98</v>
      </c>
      <c r="F10" s="12" t="s">
        <v>91</v>
      </c>
      <c r="G10" s="89" t="s">
        <v>11</v>
      </c>
      <c r="H10" s="28" t="s">
        <v>9</v>
      </c>
      <c r="I10" s="13"/>
      <c r="J10" s="13"/>
      <c r="K10" s="13"/>
    </row>
    <row r="11" spans="1:11" ht="74" customHeight="1" x14ac:dyDescent="0.35">
      <c r="A11" s="111">
        <v>3</v>
      </c>
      <c r="B11" s="113" t="s">
        <v>65</v>
      </c>
      <c r="C11" s="113"/>
      <c r="D11" s="113"/>
      <c r="E11" s="87" t="s">
        <v>70</v>
      </c>
      <c r="F11" s="72" t="s">
        <v>61</v>
      </c>
      <c r="G11" s="72" t="s">
        <v>11</v>
      </c>
      <c r="H11" s="72" t="s">
        <v>9</v>
      </c>
      <c r="I11" s="57"/>
      <c r="J11" s="57"/>
      <c r="K11" s="57"/>
    </row>
    <row r="12" spans="1:11" ht="18.5" customHeight="1" x14ac:dyDescent="0.35">
      <c r="A12" s="112"/>
      <c r="B12" s="27" t="s">
        <v>16</v>
      </c>
      <c r="C12" s="97" t="s">
        <v>10</v>
      </c>
      <c r="D12" s="98"/>
      <c r="E12" s="17" t="s">
        <v>2</v>
      </c>
      <c r="F12" s="39" t="s">
        <v>0</v>
      </c>
      <c r="G12" s="34" t="s">
        <v>3</v>
      </c>
      <c r="H12" s="16" t="s">
        <v>4</v>
      </c>
      <c r="I12" s="18" t="s">
        <v>5</v>
      </c>
      <c r="J12" s="18" t="s">
        <v>6</v>
      </c>
      <c r="K12" s="18" t="s">
        <v>7</v>
      </c>
    </row>
    <row r="13" spans="1:11" ht="16" customHeight="1" x14ac:dyDescent="0.35">
      <c r="A13" s="112"/>
      <c r="B13" s="114">
        <v>1</v>
      </c>
      <c r="C13" s="117" t="s">
        <v>78</v>
      </c>
      <c r="D13" s="117"/>
      <c r="E13" s="81" t="s">
        <v>82</v>
      </c>
      <c r="F13" s="74" t="s">
        <v>61</v>
      </c>
      <c r="G13" s="75" t="s">
        <v>11</v>
      </c>
      <c r="H13" s="75" t="s">
        <v>9</v>
      </c>
      <c r="I13" s="75"/>
      <c r="J13" s="75"/>
      <c r="K13" s="75"/>
    </row>
    <row r="14" spans="1:11" ht="16" customHeight="1" x14ac:dyDescent="0.35">
      <c r="A14" s="112"/>
      <c r="B14" s="115"/>
      <c r="C14" s="19" t="s">
        <v>16</v>
      </c>
      <c r="D14" s="19" t="s">
        <v>10</v>
      </c>
      <c r="E14" s="20" t="s">
        <v>2</v>
      </c>
      <c r="F14" s="20" t="s">
        <v>0</v>
      </c>
      <c r="G14" s="20" t="s">
        <v>3</v>
      </c>
      <c r="H14" s="20" t="s">
        <v>4</v>
      </c>
      <c r="I14" s="21" t="s">
        <v>5</v>
      </c>
      <c r="J14" s="21" t="s">
        <v>6</v>
      </c>
      <c r="K14" s="21" t="s">
        <v>7</v>
      </c>
    </row>
    <row r="15" spans="1:11" ht="16" x14ac:dyDescent="0.35">
      <c r="A15" s="112"/>
      <c r="B15" s="115"/>
      <c r="C15" s="91">
        <v>1</v>
      </c>
      <c r="D15" s="91" t="s">
        <v>99</v>
      </c>
      <c r="E15" s="92" t="s">
        <v>103</v>
      </c>
      <c r="F15" s="14" t="s">
        <v>61</v>
      </c>
      <c r="G15" s="29" t="s">
        <v>11</v>
      </c>
      <c r="H15" s="29" t="s">
        <v>9</v>
      </c>
      <c r="I15" s="15"/>
      <c r="J15" s="15"/>
      <c r="K15" s="15"/>
    </row>
    <row r="16" spans="1:11" ht="14.5" customHeight="1" x14ac:dyDescent="0.35">
      <c r="A16" s="112"/>
      <c r="B16" s="115"/>
      <c r="C16" s="91">
        <v>2</v>
      </c>
      <c r="D16" s="91" t="s">
        <v>100</v>
      </c>
      <c r="E16" s="92" t="s">
        <v>104</v>
      </c>
      <c r="F16" s="14" t="s">
        <v>61</v>
      </c>
      <c r="G16" s="29" t="s">
        <v>11</v>
      </c>
      <c r="H16" s="29" t="s">
        <v>9</v>
      </c>
      <c r="I16" s="15"/>
      <c r="J16" s="15"/>
      <c r="K16" s="15"/>
    </row>
    <row r="17" spans="1:11" ht="14.5" customHeight="1" x14ac:dyDescent="0.35">
      <c r="A17" s="112"/>
      <c r="B17" s="115"/>
      <c r="C17" s="91">
        <v>3</v>
      </c>
      <c r="D17" s="91" t="s">
        <v>101</v>
      </c>
      <c r="E17" s="92" t="s">
        <v>105</v>
      </c>
      <c r="F17" s="14" t="s">
        <v>61</v>
      </c>
      <c r="G17" s="29" t="s">
        <v>11</v>
      </c>
      <c r="H17" s="29" t="s">
        <v>9</v>
      </c>
      <c r="I17" s="15"/>
      <c r="J17" s="15"/>
      <c r="K17" s="15"/>
    </row>
    <row r="18" spans="1:11" ht="14.5" customHeight="1" x14ac:dyDescent="0.35">
      <c r="A18" s="112"/>
      <c r="B18" s="116"/>
      <c r="C18" s="91">
        <v>4</v>
      </c>
      <c r="D18" s="91" t="s">
        <v>102</v>
      </c>
      <c r="E18" s="92" t="s">
        <v>106</v>
      </c>
      <c r="F18" s="14" t="s">
        <v>61</v>
      </c>
      <c r="G18" s="29" t="s">
        <v>11</v>
      </c>
      <c r="H18" s="29" t="s">
        <v>9</v>
      </c>
      <c r="I18" s="15"/>
      <c r="J18" s="15"/>
      <c r="K18" s="15"/>
    </row>
    <row r="19" spans="1:11" ht="64" customHeight="1" x14ac:dyDescent="0.35">
      <c r="A19" s="94">
        <v>4</v>
      </c>
      <c r="B19" s="96" t="s">
        <v>66</v>
      </c>
      <c r="C19" s="96"/>
      <c r="D19" s="96"/>
      <c r="E19" s="88" t="s">
        <v>71</v>
      </c>
      <c r="F19" s="77" t="s">
        <v>62</v>
      </c>
      <c r="G19" s="76" t="s">
        <v>44</v>
      </c>
      <c r="H19" s="76" t="s">
        <v>9</v>
      </c>
      <c r="I19" s="76"/>
      <c r="J19" s="76"/>
      <c r="K19" s="76"/>
    </row>
    <row r="20" spans="1:11" ht="16" customHeight="1" x14ac:dyDescent="0.35">
      <c r="A20" s="95"/>
      <c r="B20" s="27" t="s">
        <v>16</v>
      </c>
      <c r="C20" s="97" t="s">
        <v>10</v>
      </c>
      <c r="D20" s="98"/>
      <c r="E20" s="16" t="s">
        <v>2</v>
      </c>
      <c r="F20" s="16" t="s">
        <v>0</v>
      </c>
      <c r="G20" s="16" t="s">
        <v>3</v>
      </c>
      <c r="H20" s="16" t="s">
        <v>4</v>
      </c>
      <c r="I20" s="18" t="s">
        <v>5</v>
      </c>
      <c r="J20" s="18" t="s">
        <v>6</v>
      </c>
      <c r="K20" s="18" t="s">
        <v>7</v>
      </c>
    </row>
    <row r="21" spans="1:11" ht="16" customHeight="1" x14ac:dyDescent="0.35">
      <c r="A21" s="95"/>
      <c r="B21" s="99">
        <v>1</v>
      </c>
      <c r="C21" s="101" t="s">
        <v>85</v>
      </c>
      <c r="D21" s="101"/>
      <c r="E21" s="84" t="s">
        <v>88</v>
      </c>
      <c r="F21" s="79" t="s">
        <v>91</v>
      </c>
      <c r="G21" s="79" t="s">
        <v>44</v>
      </c>
      <c r="H21" s="79" t="s">
        <v>9</v>
      </c>
      <c r="I21" s="79"/>
      <c r="J21" s="79"/>
      <c r="K21" s="79"/>
    </row>
    <row r="22" spans="1:11" ht="16" customHeight="1" x14ac:dyDescent="0.35">
      <c r="A22" s="95"/>
      <c r="B22" s="100"/>
      <c r="C22" s="19" t="s">
        <v>16</v>
      </c>
      <c r="D22" s="19" t="s">
        <v>10</v>
      </c>
      <c r="E22" s="20" t="s">
        <v>2</v>
      </c>
      <c r="F22" s="20" t="s">
        <v>0</v>
      </c>
      <c r="G22" s="20" t="s">
        <v>3</v>
      </c>
      <c r="H22" s="20" t="s">
        <v>4</v>
      </c>
      <c r="I22" s="21" t="s">
        <v>5</v>
      </c>
      <c r="J22" s="21" t="s">
        <v>6</v>
      </c>
      <c r="K22" s="21" t="s">
        <v>7</v>
      </c>
    </row>
    <row r="23" spans="1:11" ht="16" x14ac:dyDescent="0.35">
      <c r="A23" s="95"/>
      <c r="B23" s="100"/>
      <c r="C23" s="93">
        <v>1</v>
      </c>
      <c r="D23" s="93" t="s">
        <v>107</v>
      </c>
      <c r="E23" s="93" t="s">
        <v>110</v>
      </c>
      <c r="F23" s="31" t="s">
        <v>91</v>
      </c>
      <c r="G23" s="31" t="s">
        <v>44</v>
      </c>
      <c r="H23" s="31" t="s">
        <v>9</v>
      </c>
      <c r="I23" s="31"/>
      <c r="J23" s="31"/>
      <c r="K23" s="31"/>
    </row>
    <row r="24" spans="1:11" ht="32" customHeight="1" x14ac:dyDescent="0.35">
      <c r="A24" s="95"/>
      <c r="B24" s="99">
        <v>2</v>
      </c>
      <c r="C24" s="101" t="s">
        <v>86</v>
      </c>
      <c r="D24" s="101"/>
      <c r="E24" s="84" t="s">
        <v>89</v>
      </c>
      <c r="F24" s="79" t="s">
        <v>91</v>
      </c>
      <c r="G24" s="79" t="s">
        <v>44</v>
      </c>
      <c r="H24" s="79" t="s">
        <v>9</v>
      </c>
      <c r="I24" s="79"/>
      <c r="J24" s="79"/>
      <c r="K24" s="79"/>
    </row>
    <row r="25" spans="1:11" ht="16" customHeight="1" x14ac:dyDescent="0.35">
      <c r="A25" s="95"/>
      <c r="B25" s="100"/>
      <c r="C25" s="19" t="s">
        <v>16</v>
      </c>
      <c r="D25" s="19" t="s">
        <v>10</v>
      </c>
      <c r="E25" s="20" t="s">
        <v>2</v>
      </c>
      <c r="F25" s="20" t="s">
        <v>0</v>
      </c>
      <c r="G25" s="20" t="s">
        <v>3</v>
      </c>
      <c r="H25" s="20" t="s">
        <v>4</v>
      </c>
      <c r="I25" s="21" t="s">
        <v>5</v>
      </c>
      <c r="J25" s="21" t="s">
        <v>6</v>
      </c>
      <c r="K25" s="21" t="s">
        <v>7</v>
      </c>
    </row>
    <row r="26" spans="1:11" ht="14.5" customHeight="1" x14ac:dyDescent="0.35">
      <c r="A26" s="95"/>
      <c r="B26" s="100"/>
      <c r="C26" s="93">
        <v>1</v>
      </c>
      <c r="D26" s="93" t="s">
        <v>108</v>
      </c>
      <c r="E26" s="93" t="s">
        <v>111</v>
      </c>
      <c r="F26" s="31" t="s">
        <v>91</v>
      </c>
      <c r="G26" s="31" t="s">
        <v>44</v>
      </c>
      <c r="H26" s="31" t="s">
        <v>9</v>
      </c>
      <c r="I26" s="31"/>
      <c r="J26" s="31"/>
      <c r="K26" s="31"/>
    </row>
    <row r="27" spans="1:11" ht="48" customHeight="1" x14ac:dyDescent="0.35">
      <c r="A27" s="95"/>
      <c r="B27" s="99">
        <v>3</v>
      </c>
      <c r="C27" s="101" t="s">
        <v>87</v>
      </c>
      <c r="D27" s="101"/>
      <c r="E27" s="84" t="s">
        <v>90</v>
      </c>
      <c r="F27" s="79" t="s">
        <v>61</v>
      </c>
      <c r="G27" s="79" t="s">
        <v>44</v>
      </c>
      <c r="H27" s="79" t="s">
        <v>9</v>
      </c>
      <c r="I27" s="79"/>
      <c r="J27" s="79"/>
      <c r="K27" s="79"/>
    </row>
    <row r="28" spans="1:11" ht="16" customHeight="1" x14ac:dyDescent="0.35">
      <c r="A28" s="95"/>
      <c r="B28" s="100"/>
      <c r="C28" s="19" t="s">
        <v>16</v>
      </c>
      <c r="D28" s="19" t="s">
        <v>10</v>
      </c>
      <c r="E28" s="20" t="s">
        <v>2</v>
      </c>
      <c r="F28" s="20" t="s">
        <v>0</v>
      </c>
      <c r="G28" s="20" t="s">
        <v>3</v>
      </c>
      <c r="H28" s="20" t="s">
        <v>4</v>
      </c>
      <c r="I28" s="21" t="s">
        <v>5</v>
      </c>
      <c r="J28" s="21" t="s">
        <v>6</v>
      </c>
      <c r="K28" s="21" t="s">
        <v>7</v>
      </c>
    </row>
    <row r="29" spans="1:11" ht="16" x14ac:dyDescent="0.35">
      <c r="A29" s="95"/>
      <c r="B29" s="100"/>
      <c r="C29" s="93">
        <v>1</v>
      </c>
      <c r="D29" s="93" t="s">
        <v>109</v>
      </c>
      <c r="E29" s="93" t="s">
        <v>112</v>
      </c>
      <c r="F29" s="31" t="s">
        <v>61</v>
      </c>
      <c r="G29" s="31" t="s">
        <v>44</v>
      </c>
      <c r="H29" s="31" t="s">
        <v>9</v>
      </c>
      <c r="I29" s="31"/>
      <c r="J29" s="31"/>
      <c r="K29" s="31"/>
    </row>
  </sheetData>
  <mergeCells count="22">
    <mergeCell ref="B1:D1"/>
    <mergeCell ref="A2:A10"/>
    <mergeCell ref="B2:D2"/>
    <mergeCell ref="C3:D3"/>
    <mergeCell ref="B4:B6"/>
    <mergeCell ref="C4:D4"/>
    <mergeCell ref="B7:B10"/>
    <mergeCell ref="C7:D7"/>
    <mergeCell ref="A11:A18"/>
    <mergeCell ref="B11:D11"/>
    <mergeCell ref="C12:D12"/>
    <mergeCell ref="B13:B18"/>
    <mergeCell ref="C13:D13"/>
    <mergeCell ref="C27:D27"/>
    <mergeCell ref="A19:A29"/>
    <mergeCell ref="B19:D19"/>
    <mergeCell ref="C20:D20"/>
    <mergeCell ref="B21:B23"/>
    <mergeCell ref="C21:D21"/>
    <mergeCell ref="B24:B26"/>
    <mergeCell ref="C24:D24"/>
    <mergeCell ref="B27:B29"/>
  </mergeCells>
  <phoneticPr fontId="16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08F0D5-454F-458B-A766-AF477E2F7A82}">
          <x14:formula1>
            <xm:f>'conformity topics'!$A$2:$A$16</xm:f>
          </x14:formula1>
          <xm:sqref>G15:G19 G6:G7 G13 G29 G4 G2 G9:G11 G21 G23:G24 G26:G27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5BF01-671A-4992-9A7C-044502E42CEE}">
  <sheetPr codeName="Sheet8"/>
  <dimension ref="A1:C16"/>
  <sheetViews>
    <sheetView workbookViewId="0">
      <selection activeCell="B17" sqref="B17"/>
    </sheetView>
  </sheetViews>
  <sheetFormatPr defaultRowHeight="14.5" x14ac:dyDescent="0.35"/>
  <cols>
    <col min="1" max="1" width="23.54296875" bestFit="1" customWidth="1"/>
    <col min="2" max="2" width="22.1796875" bestFit="1" customWidth="1"/>
    <col min="3" max="3" width="75.81640625" bestFit="1" customWidth="1"/>
  </cols>
  <sheetData>
    <row r="1" spans="1:3" x14ac:dyDescent="0.35">
      <c r="A1" t="s">
        <v>3</v>
      </c>
      <c r="B1" t="s">
        <v>18</v>
      </c>
      <c r="C1" t="s">
        <v>19</v>
      </c>
    </row>
    <row r="2" spans="1:3" x14ac:dyDescent="0.35">
      <c r="A2" t="s">
        <v>20</v>
      </c>
      <c r="B2" t="s">
        <v>21</v>
      </c>
      <c r="C2" t="s">
        <v>22</v>
      </c>
    </row>
    <row r="3" spans="1:3" x14ac:dyDescent="0.35">
      <c r="A3" t="s">
        <v>23</v>
      </c>
      <c r="B3" t="s">
        <v>24</v>
      </c>
      <c r="C3" t="s">
        <v>25</v>
      </c>
    </row>
    <row r="4" spans="1:3" x14ac:dyDescent="0.35">
      <c r="A4" t="s">
        <v>26</v>
      </c>
      <c r="B4" t="s">
        <v>27</v>
      </c>
      <c r="C4" t="s">
        <v>28</v>
      </c>
    </row>
    <row r="5" spans="1:3" x14ac:dyDescent="0.35">
      <c r="A5" t="s">
        <v>29</v>
      </c>
      <c r="B5" t="s">
        <v>30</v>
      </c>
      <c r="C5" t="s">
        <v>31</v>
      </c>
    </row>
    <row r="6" spans="1:3" x14ac:dyDescent="0.35">
      <c r="A6" t="s">
        <v>32</v>
      </c>
      <c r="B6" t="s">
        <v>33</v>
      </c>
      <c r="C6" t="s">
        <v>34</v>
      </c>
    </row>
    <row r="7" spans="1:3" x14ac:dyDescent="0.35">
      <c r="A7" t="s">
        <v>35</v>
      </c>
      <c r="B7" t="s">
        <v>36</v>
      </c>
      <c r="C7" t="s">
        <v>37</v>
      </c>
    </row>
    <row r="8" spans="1:3" x14ac:dyDescent="0.35">
      <c r="A8" t="s">
        <v>38</v>
      </c>
      <c r="B8" t="s">
        <v>39</v>
      </c>
      <c r="C8" t="s">
        <v>40</v>
      </c>
    </row>
    <row r="9" spans="1:3" x14ac:dyDescent="0.35">
      <c r="A9" t="s">
        <v>41</v>
      </c>
      <c r="B9" t="s">
        <v>42</v>
      </c>
      <c r="C9" t="s">
        <v>43</v>
      </c>
    </row>
    <row r="10" spans="1:3" x14ac:dyDescent="0.35">
      <c r="A10" t="s">
        <v>44</v>
      </c>
      <c r="B10" t="s">
        <v>45</v>
      </c>
      <c r="C10" t="s">
        <v>46</v>
      </c>
    </row>
    <row r="11" spans="1:3" x14ac:dyDescent="0.35">
      <c r="A11" t="s">
        <v>13</v>
      </c>
      <c r="B11" t="s">
        <v>47</v>
      </c>
      <c r="C11" t="s">
        <v>48</v>
      </c>
    </row>
    <row r="12" spans="1:3" x14ac:dyDescent="0.35">
      <c r="A12" t="s">
        <v>15</v>
      </c>
      <c r="B12" t="s">
        <v>49</v>
      </c>
      <c r="C12" t="s">
        <v>50</v>
      </c>
    </row>
    <row r="13" spans="1:3" x14ac:dyDescent="0.35">
      <c r="A13" t="s">
        <v>14</v>
      </c>
      <c r="B13" t="s">
        <v>51</v>
      </c>
      <c r="C13" t="s">
        <v>52</v>
      </c>
    </row>
    <row r="14" spans="1:3" x14ac:dyDescent="0.35">
      <c r="A14" t="s">
        <v>12</v>
      </c>
      <c r="B14" t="s">
        <v>53</v>
      </c>
      <c r="C14" t="s">
        <v>54</v>
      </c>
    </row>
    <row r="15" spans="1:3" x14ac:dyDescent="0.35">
      <c r="A15" t="s">
        <v>11</v>
      </c>
      <c r="B15" t="s">
        <v>55</v>
      </c>
      <c r="C15" t="s">
        <v>56</v>
      </c>
    </row>
    <row r="16" spans="1:3" x14ac:dyDescent="0.35">
      <c r="A16" t="s">
        <v>8</v>
      </c>
      <c r="B16" t="s">
        <v>57</v>
      </c>
      <c r="C16" t="s">
        <v>58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F642E32456414B948FF878D8290EDB" ma:contentTypeVersion="8" ma:contentTypeDescription="Create a new document." ma:contentTypeScope="" ma:versionID="dedb67639f0a51fa48fe8fe578cab18a">
  <xsd:schema xmlns:xsd="http://www.w3.org/2001/XMLSchema" xmlns:xs="http://www.w3.org/2001/XMLSchema" xmlns:p="http://schemas.microsoft.com/office/2006/metadata/properties" xmlns:ns2="dc386533-4498-46f6-8f10-6aa456242a80" targetNamespace="http://schemas.microsoft.com/office/2006/metadata/properties" ma:root="true" ma:fieldsID="27aba8c8bd75c08bb4a01459517810b6" ns2:_="">
    <xsd:import namespace="dc386533-4498-46f6-8f10-6aa456242a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386533-4498-46f6-8f10-6aa456242a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23E68A-2E20-4E9C-B002-6F0990E306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c386533-4498-46f6-8f10-6aa456242a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BC9BD75-D5C9-48FC-AFBC-FA9B0C75B28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F604BC-B76F-47FD-8318-65CBED0CDB8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How to Use</vt:lpstr>
      <vt:lpstr>SVC with Filter</vt:lpstr>
      <vt:lpstr>Template_Top Level Criteria</vt:lpstr>
      <vt:lpstr>Template_1st Level Sub Criteria</vt:lpstr>
      <vt:lpstr>Template_2nd Level Sub Criteria</vt:lpstr>
      <vt:lpstr>conformity topics</vt:lpstr>
      <vt:lpstr>'SVC with Filter'!Criteria</vt:lpstr>
      <vt:lpstr>'Template_1st Level Sub Criteria'!CriteriaTags</vt:lpstr>
      <vt:lpstr>'Template_2nd Level Sub Criteria'!CriteriaTags</vt:lpstr>
      <vt:lpstr>CriteriaTags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Vincentius Sundjaja</dc:creator>
  <cp:keywords/>
  <dc:description/>
  <cp:lastModifiedBy>Vincentius Sundjaja</cp:lastModifiedBy>
  <cp:revision/>
  <dcterms:created xsi:type="dcterms:W3CDTF">2025-05-19T00:00:20Z</dcterms:created>
  <dcterms:modified xsi:type="dcterms:W3CDTF">2025-09-04T05:38:56Z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0x0101005DF642E32456414B948FF878D8290EDB</vt:lpwstr>
  </property>
</Properties>
</file>